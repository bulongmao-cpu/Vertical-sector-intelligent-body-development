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 activeTab="2"/>
  </bookViews>
  <sheets>
    <sheet name="2021年" sheetId="1" r:id="rId1"/>
    <sheet name="2023年" sheetId="2" r:id="rId2"/>
    <sheet name="2024年" sheetId="4" r:id="rId3"/>
    <sheet name="Sheet3" sheetId="3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<sst xmlns="http://schemas.openxmlformats.org/spreadsheetml/2006/main" count="469" uniqueCount="107">
  <si>
    <t>2021年</t>
  </si>
  <si>
    <t>校区</t>
  </si>
  <si>
    <t>学校名称修正</t>
  </si>
  <si>
    <t>校区建筑面积（平方米）</t>
  </si>
  <si>
    <t>保洁成本（2021）</t>
  </si>
  <si>
    <t>填报岗位数</t>
  </si>
  <si>
    <t>保洁员，主管垃圾分类员岗位数</t>
  </si>
  <si>
    <t>人员配置人数</t>
  </si>
  <si>
    <t>人员成本</t>
  </si>
  <si>
    <t>物料消耗</t>
  </si>
  <si>
    <t>人均单位成本</t>
  </si>
  <si>
    <t>人均服务面积</t>
  </si>
  <si>
    <t>单位面积成本</t>
  </si>
  <si>
    <r>
      <t>人均服务面积</t>
    </r>
    <r>
      <rPr>
        <sz val="9"/>
        <color rgb="FF000000"/>
        <rFont val="Microsoft YaHei UI"/>
        <charset val="134"/>
      </rPr>
      <t>/填报岗位数</t>
    </r>
  </si>
  <si>
    <r>
      <t>人均服务面积</t>
    </r>
    <r>
      <rPr>
        <sz val="9"/>
        <color rgb="FF000000"/>
        <rFont val="Microsoft YaHei UI"/>
        <charset val="134"/>
      </rPr>
      <t>/</t>
    </r>
    <r>
      <rPr>
        <sz val="9"/>
        <color rgb="FF000000"/>
        <rFont val="等线"/>
        <charset val="134"/>
      </rPr>
      <t>保洁员，主管垃圾分类员岗位数</t>
    </r>
  </si>
  <si>
    <t>上海市高级技工学校</t>
  </si>
  <si>
    <t>逸仙路校区</t>
  </si>
  <si>
    <t>8上海市高级技工学校逸仙路校区</t>
  </si>
  <si>
    <t>上海信息技术学校</t>
  </si>
  <si>
    <t>真南路校区</t>
  </si>
  <si>
    <t>13上海信息技术学校真南路校区</t>
  </si>
  <si>
    <t>拉到3.6</t>
  </si>
  <si>
    <t>拉到3.5</t>
  </si>
  <si>
    <r>
      <t>上海市医药学校2021</t>
    </r>
    <r>
      <rPr>
        <sz val="9"/>
        <color rgb="FFFF0000"/>
        <rFont val="方正仿宋_GB2312"/>
        <charset val="134"/>
      </rPr>
      <t>（面积有变化）</t>
    </r>
  </si>
  <si>
    <t>沈家弄路</t>
  </si>
  <si>
    <t>14上海市医药学校沈家弄路</t>
  </si>
  <si>
    <t>人均面积</t>
  </si>
  <si>
    <t>上海戏剧学院附属戏曲学校</t>
  </si>
  <si>
    <t>莲花路校区</t>
  </si>
  <si>
    <t>9上海戏剧学院附属戏曲学校莲花路校区</t>
  </si>
  <si>
    <t>人均成本</t>
  </si>
  <si>
    <t>上海科技管理学校</t>
  </si>
  <si>
    <t>民星路校区</t>
  </si>
  <si>
    <t>18上海科技管理学校民星路校区</t>
  </si>
  <si>
    <t>单位面积</t>
  </si>
  <si>
    <t>上海市体育运动学校</t>
  </si>
  <si>
    <t>水电路校区</t>
  </si>
  <si>
    <t>23上海市体育运动学校水电路校区</t>
  </si>
  <si>
    <t>上海新闻出版职业技术学校</t>
  </si>
  <si>
    <t>青浦校区</t>
  </si>
  <si>
    <t>25上海新闻出版职业技术学校青浦校区</t>
  </si>
  <si>
    <t>上海健康医学院附属卫生学校</t>
  </si>
  <si>
    <t>徐汇校区</t>
  </si>
  <si>
    <t>7上海健康医学院附属卫生学校徐汇校区</t>
  </si>
  <si>
    <t>上海市行政管理学校</t>
  </si>
  <si>
    <t>2上海市行政管理学校嘉定校区</t>
  </si>
  <si>
    <t>上海市工业技术学校</t>
  </si>
  <si>
    <t>喜泰支路8号校区</t>
  </si>
  <si>
    <t>6上海市工业技术学校喜泰支路8号校区</t>
  </si>
  <si>
    <t>上海市工商外国语学校</t>
  </si>
  <si>
    <t>17上海市工商外国语学校徐汇校区</t>
  </si>
  <si>
    <t>上海市商业学校</t>
  </si>
  <si>
    <t>共和新路校区</t>
  </si>
  <si>
    <t>15上海市商业学校共和新路校区</t>
  </si>
  <si>
    <t>上海市建筑工程学校</t>
  </si>
  <si>
    <t>龙吴路校区</t>
  </si>
  <si>
    <t>1上海市建筑工程学校龙吴路校区</t>
  </si>
  <si>
    <t>上海市现代流通学校</t>
  </si>
  <si>
    <t>宝山校区</t>
  </si>
  <si>
    <t>21上海市现代流通学校宝山校区</t>
  </si>
  <si>
    <t>上海市材料工程学校</t>
  </si>
  <si>
    <t>长桥校区</t>
  </si>
  <si>
    <t>12上海市材料工程学校长桥校区</t>
  </si>
  <si>
    <t>上海市第二体育运动学校</t>
  </si>
  <si>
    <t>闵行区校区</t>
  </si>
  <si>
    <t>24上海市第二体育运动学校闵行区校区</t>
  </si>
  <si>
    <t>上海音乐学院附属中等音乐专科学校</t>
  </si>
  <si>
    <t>东平路9号</t>
  </si>
  <si>
    <t>11上海音乐学院附属中等音乐专科学校东平路9号</t>
  </si>
  <si>
    <t>上海市贸易学校</t>
  </si>
  <si>
    <t>赤峰校区</t>
  </si>
  <si>
    <t>19上海市贸易学校赤峰校区</t>
  </si>
  <si>
    <t>上海市第二轻工业学校</t>
  </si>
  <si>
    <t>沈家弄路650号校区</t>
  </si>
  <si>
    <t>5上海市第二轻工业学校沈家弄路650号校区</t>
  </si>
  <si>
    <t>上海商业会计学校</t>
  </si>
  <si>
    <t>黄浦校区</t>
  </si>
  <si>
    <t>16上海商业会计学校黄浦校区</t>
  </si>
  <si>
    <t>上海市环境学校</t>
  </si>
  <si>
    <t>浦东校区</t>
  </si>
  <si>
    <t>20上海市环境学校浦东校区</t>
  </si>
  <si>
    <t>上海市经济管理学校</t>
  </si>
  <si>
    <t>普陀校区</t>
  </si>
  <si>
    <t>4上海市经济管理学校普陀校区</t>
  </si>
  <si>
    <t>16上海商业会计学校普陀校区</t>
  </si>
  <si>
    <t>嘉定校区</t>
  </si>
  <si>
    <t>7上海健康医学院附属卫生学校嘉定校区</t>
  </si>
  <si>
    <t>云西校区</t>
  </si>
  <si>
    <t>19上海市贸易学校云西校区</t>
  </si>
  <si>
    <t>25上海新闻出版职业技术学校宝山校区</t>
  </si>
  <si>
    <t>闵行校区</t>
  </si>
  <si>
    <t>17上海市工商外国语学校闵行校区</t>
  </si>
  <si>
    <t>上海市马戏学校</t>
  </si>
  <si>
    <t>程家桥路188号</t>
  </si>
  <si>
    <t>22上海市马戏学校程家桥路188号</t>
  </si>
  <si>
    <t>20上海市环境学校徐汇校区</t>
  </si>
  <si>
    <t>25上海新闻出版职业技术学校徐汇校区</t>
  </si>
  <si>
    <t>1. 区间划分与成本趋势
0-3.6万平方米：
平均保洁成本约为 637,800元。
该区间的校区建筑面积较小，保洁成本相对较低，但单位面积成本可能较高，需要优化资源配置。
3.6万-8.2万平方米：
平均保洁成本约为 1,482,989元。
该区间的校区建筑面积较大，保洁成本显著增加，但单位面积成本可能较低，表明规模效应在一定程度上降低了单位成本。</t>
  </si>
  <si>
    <t>2023年</t>
  </si>
  <si>
    <t>学校</t>
  </si>
  <si>
    <t>保洁成本（2023）</t>
  </si>
  <si>
    <r>
      <rPr>
        <sz val="9"/>
        <color rgb="FF000000"/>
        <rFont val="方正仿宋_GB2312"/>
        <charset val="134"/>
      </rPr>
      <t>人均服务面积</t>
    </r>
    <r>
      <rPr>
        <sz val="9"/>
        <color rgb="FF000000"/>
        <rFont val="Microsoft YaHei UI"/>
        <charset val="134"/>
      </rPr>
      <t>/填报岗位数</t>
    </r>
  </si>
  <si>
    <r>
      <rPr>
        <sz val="9"/>
        <color rgb="FF000000"/>
        <rFont val="方正仿宋_GB2312"/>
        <charset val="134"/>
      </rPr>
      <t>人均服务面积</t>
    </r>
    <r>
      <rPr>
        <sz val="9"/>
        <color rgb="FF000000"/>
        <rFont val="Microsoft YaHei UI"/>
        <charset val="134"/>
      </rPr>
      <t>/</t>
    </r>
    <r>
      <rPr>
        <sz val="9"/>
        <color rgb="FF000000"/>
        <rFont val="等线"/>
        <charset val="134"/>
      </rPr>
      <t>保洁员，主管垃圾分类员岗位数</t>
    </r>
  </si>
  <si>
    <t>上海市医药学校</t>
  </si>
  <si>
    <t>梅陇校区</t>
  </si>
  <si>
    <r>
      <rPr>
        <sz val="10"/>
        <color theme="1"/>
        <rFont val="方正仿宋_GB2312"/>
        <charset val="134"/>
      </rPr>
      <t>12</t>
    </r>
    <r>
      <rPr>
        <sz val="10"/>
        <color theme="1"/>
        <rFont val="宋体"/>
        <charset val="134"/>
      </rPr>
      <t>上海市材料工程学校梅陇校区</t>
    </r>
  </si>
  <si>
    <t>保洁成本（2024）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</si>
</sst>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#,##0.00_ "/>
    <numFmt numFmtId="178" formatCode="0.00_ "/>
    <numFmt numFmtId="179" formatCode="_ * #,##0_ ;_ * \-#,##0_ ;_ * &quot;-&quot;??_ ;_ @_ "/>
  </numFmts>
  <fonts count="4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方正仿宋_GB2312"/>
      <charset val="134"/>
    </font>
    <font>
      <b/>
      <sz val="10"/>
      <color theme="1"/>
      <name val="方正仿宋_GB2312"/>
      <charset val="134"/>
    </font>
    <font>
      <b/>
      <sz val="10"/>
      <color rgb="FF000000"/>
      <name val="方正仿宋_GB2312"/>
      <charset val="134"/>
    </font>
    <font>
      <b/>
      <sz val="10"/>
      <color rgb="FF000000"/>
      <name val="宋体"/>
      <charset val="134"/>
    </font>
    <font>
      <sz val="9"/>
      <color rgb="FF000000"/>
      <name val="方正仿宋_GB2312"/>
      <charset val="134"/>
    </font>
    <font>
      <sz val="9"/>
      <name val="仿宋"/>
      <charset val="134"/>
    </font>
    <font>
      <sz val="10"/>
      <name val="方正仿宋_GB2312"/>
      <charset val="134"/>
    </font>
    <font>
      <sz val="10"/>
      <color theme="1"/>
      <name val="宋体"/>
      <charset val="134"/>
    </font>
    <font>
      <sz val="10"/>
      <color rgb="FFFF0000"/>
      <name val="方正仿宋_GB2312"/>
      <charset val="134"/>
    </font>
    <font>
      <sz val="11"/>
      <color rgb="FFFF0000"/>
      <name val="宋体"/>
      <charset val="134"/>
      <scheme val="minor"/>
    </font>
    <font>
      <sz val="9"/>
      <color theme="1"/>
      <name val="微软雅黑 Light"/>
      <charset val="134"/>
    </font>
    <font>
      <sz val="9"/>
      <name val="微软雅黑 Light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color rgb="FFFF0000"/>
      <name val="宋体"/>
      <charset val="134"/>
      <scheme val="minor"/>
    </font>
    <font>
      <sz val="9"/>
      <color theme="1"/>
      <name val="方正仿宋_GB2312"/>
      <charset val="134"/>
    </font>
    <font>
      <sz val="9"/>
      <color rgb="FF000000"/>
      <name val="宋体"/>
      <charset val="134"/>
    </font>
    <font>
      <sz val="9"/>
      <color rgb="FFFF0000"/>
      <name val="方正仿宋_GB2312"/>
      <charset val="134"/>
    </font>
    <font>
      <sz val="9"/>
      <name val="方正仿宋_GB2312"/>
      <charset val="134"/>
    </font>
    <font>
      <sz val="9"/>
      <color rgb="FFFF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Microsoft YaHei UI"/>
      <charset val="134"/>
    </font>
    <font>
      <sz val="9"/>
      <color rgb="FF000000"/>
      <name val="等线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9" borderId="6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2" fillId="10" borderId="6" applyNumberFormat="0" applyAlignment="0" applyProtection="0">
      <alignment vertical="center"/>
    </xf>
    <xf numFmtId="0" fontId="33" fillId="11" borderId="8" applyNumberFormat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</cellStyleXfs>
  <cellXfs count="14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77" fontId="2" fillId="3" borderId="1" xfId="1" applyNumberFormat="1" applyFont="1" applyFill="1" applyBorder="1" applyAlignment="1">
      <alignment horizontal="right" vertical="center" wrapText="1"/>
    </xf>
    <xf numFmtId="177" fontId="2" fillId="0" borderId="1" xfId="1" applyNumberFormat="1" applyFont="1" applyBorder="1" applyAlignment="1">
      <alignment horizontal="right" vertical="center"/>
    </xf>
    <xf numFmtId="176" fontId="2" fillId="0" borderId="1" xfId="1" applyNumberFormat="1" applyFont="1" applyBorder="1" applyAlignment="1">
      <alignment horizontal="right" vertical="center"/>
    </xf>
    <xf numFmtId="176" fontId="2" fillId="2" borderId="1" xfId="0" applyNumberFormat="1" applyFont="1" applyFill="1" applyBorder="1" applyAlignment="1">
      <alignment horizontal="right" vertical="center"/>
    </xf>
    <xf numFmtId="177" fontId="2" fillId="0" borderId="1" xfId="1" applyNumberFormat="1" applyFont="1" applyBorder="1" applyAlignment="1">
      <alignment horizontal="right" vertical="center" wrapText="1"/>
    </xf>
    <xf numFmtId="176" fontId="2" fillId="0" borderId="1" xfId="0" applyNumberFormat="1" applyFont="1" applyFill="1" applyBorder="1" applyAlignment="1">
      <alignment horizontal="right" vertical="center"/>
    </xf>
    <xf numFmtId="43" fontId="2" fillId="0" borderId="1" xfId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77" fontId="2" fillId="0" borderId="1" xfId="1" applyNumberFormat="1" applyFont="1" applyFill="1" applyBorder="1" applyAlignment="1">
      <alignment horizontal="right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 vertical="center" wrapText="1"/>
    </xf>
    <xf numFmtId="177" fontId="2" fillId="0" borderId="1" xfId="1" applyNumberFormat="1" applyFont="1" applyFill="1" applyBorder="1" applyAlignment="1">
      <alignment horizontal="right" vertical="center"/>
    </xf>
    <xf numFmtId="177" fontId="2" fillId="4" borderId="1" xfId="1" applyNumberFormat="1" applyFont="1" applyFill="1" applyBorder="1" applyAlignment="1">
      <alignment horizontal="right" vertical="center" wrapText="1"/>
    </xf>
    <xf numFmtId="177" fontId="8" fillId="0" borderId="1" xfId="1" applyNumberFormat="1" applyFont="1" applyBorder="1" applyAlignment="1">
      <alignment horizontal="righ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43" fontId="2" fillId="5" borderId="1" xfId="1" applyFont="1" applyFill="1" applyBorder="1" applyAlignment="1">
      <alignment horizontal="right" vertical="center" wrapText="1"/>
    </xf>
    <xf numFmtId="177" fontId="10" fillId="0" borderId="1" xfId="1" applyNumberFormat="1" applyFont="1" applyBorder="1" applyAlignment="1">
      <alignment horizontal="right" vertical="center" wrapText="1"/>
    </xf>
    <xf numFmtId="176" fontId="10" fillId="0" borderId="1" xfId="0" applyNumberFormat="1" applyFont="1" applyFill="1" applyBorder="1" applyAlignment="1">
      <alignment horizontal="right" vertical="center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vertical="top"/>
    </xf>
    <xf numFmtId="177" fontId="4" fillId="0" borderId="1" xfId="0" applyNumberFormat="1" applyFont="1" applyFill="1" applyBorder="1" applyAlignment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right" vertical="center" wrapText="1"/>
    </xf>
    <xf numFmtId="178" fontId="6" fillId="0" borderId="1" xfId="0" applyNumberFormat="1" applyFont="1" applyFill="1" applyBorder="1" applyAlignment="1">
      <alignment horizontal="center" vertical="center" wrapText="1"/>
    </xf>
    <xf numFmtId="0" fontId="0" fillId="6" borderId="0" xfId="0" applyFill="1" applyAlignment="1">
      <alignment vertical="center"/>
    </xf>
    <xf numFmtId="177" fontId="0" fillId="0" borderId="0" xfId="0" applyNumberFormat="1" applyFill="1" applyAlignment="1">
      <alignment vertical="center"/>
    </xf>
    <xf numFmtId="43" fontId="0" fillId="4" borderId="0" xfId="0" applyNumberFormat="1" applyFill="1" applyAlignment="1">
      <alignment vertical="center"/>
    </xf>
    <xf numFmtId="177" fontId="0" fillId="2" borderId="0" xfId="0" applyNumberFormat="1" applyFill="1" applyAlignment="1">
      <alignment vertical="center"/>
    </xf>
    <xf numFmtId="177" fontId="0" fillId="7" borderId="0" xfId="0" applyNumberFormat="1" applyFill="1" applyAlignment="1">
      <alignment vertical="center"/>
    </xf>
    <xf numFmtId="177" fontId="2" fillId="2" borderId="1" xfId="0" applyNumberFormat="1" applyFont="1" applyFill="1" applyBorder="1" applyAlignment="1">
      <alignment horizontal="right" vertical="center"/>
    </xf>
    <xf numFmtId="43" fontId="0" fillId="0" borderId="0" xfId="0" applyNumberFormat="1" applyFill="1" applyAlignment="1">
      <alignment vertical="center"/>
    </xf>
    <xf numFmtId="177" fontId="8" fillId="0" borderId="1" xfId="0" applyNumberFormat="1" applyFont="1" applyFill="1" applyBorder="1" applyAlignment="1">
      <alignment horizontal="right" vertical="center" wrapText="1"/>
    </xf>
    <xf numFmtId="177" fontId="10" fillId="0" borderId="1" xfId="0" applyNumberFormat="1" applyFont="1" applyFill="1" applyBorder="1" applyAlignment="1">
      <alignment horizontal="right" vertical="center" wrapText="1"/>
    </xf>
    <xf numFmtId="177" fontId="8" fillId="0" borderId="1" xfId="1" applyNumberFormat="1" applyFont="1" applyFill="1" applyBorder="1" applyAlignment="1">
      <alignment horizontal="right" vertical="center" wrapText="1"/>
    </xf>
    <xf numFmtId="43" fontId="0" fillId="3" borderId="0" xfId="1" applyFont="1" applyFill="1">
      <alignment vertical="center"/>
    </xf>
    <xf numFmtId="43" fontId="0" fillId="3" borderId="0" xfId="0" applyNumberFormat="1" applyFill="1" applyAlignment="1">
      <alignment vertical="center"/>
    </xf>
    <xf numFmtId="0" fontId="11" fillId="4" borderId="0" xfId="0" applyFont="1" applyFill="1" applyAlignment="1">
      <alignment vertical="center"/>
    </xf>
    <xf numFmtId="43" fontId="0" fillId="0" borderId="0" xfId="1" applyFont="1">
      <alignment vertical="center"/>
    </xf>
    <xf numFmtId="0" fontId="11" fillId="0" borderId="0" xfId="0" applyFont="1" applyFill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176" fontId="2" fillId="0" borderId="0" xfId="0" applyNumberFormat="1" applyFont="1" applyFill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right" vertical="center" wrapText="1"/>
    </xf>
    <xf numFmtId="176" fontId="2" fillId="0" borderId="1" xfId="1" applyNumberFormat="1" applyFont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2" borderId="1" xfId="1" applyNumberFormat="1" applyFont="1" applyFill="1" applyBorder="1" applyAlignment="1">
      <alignment horizontal="center" vertical="center"/>
    </xf>
    <xf numFmtId="43" fontId="2" fillId="4" borderId="1" xfId="1" applyFont="1" applyFill="1" applyBorder="1" applyAlignment="1">
      <alignment horizontal="right" vertical="center" wrapText="1"/>
    </xf>
    <xf numFmtId="43" fontId="12" fillId="5" borderId="1" xfId="1" applyFont="1" applyFill="1" applyBorder="1" applyAlignment="1">
      <alignment horizontal="center" vertical="center"/>
    </xf>
    <xf numFmtId="176" fontId="2" fillId="5" borderId="1" xfId="1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vertical="center"/>
    </xf>
    <xf numFmtId="179" fontId="13" fillId="5" borderId="1" xfId="1" applyNumberFormat="1" applyFont="1" applyFill="1" applyBorder="1" applyAlignment="1">
      <alignment horizontal="center" vertical="center" wrapText="1"/>
    </xf>
    <xf numFmtId="177" fontId="8" fillId="5" borderId="1" xfId="1" applyNumberFormat="1" applyFont="1" applyFill="1" applyBorder="1" applyAlignment="1">
      <alignment horizontal="right" vertical="center" wrapText="1"/>
    </xf>
    <xf numFmtId="177" fontId="2" fillId="5" borderId="1" xfId="0" applyNumberFormat="1" applyFont="1" applyFill="1" applyBorder="1" applyAlignment="1">
      <alignment horizontal="right" vertical="center"/>
    </xf>
    <xf numFmtId="178" fontId="6" fillId="0" borderId="0" xfId="0" applyNumberFormat="1" applyFont="1" applyFill="1" applyAlignment="1">
      <alignment horizontal="center" vertical="center" wrapText="1"/>
    </xf>
    <xf numFmtId="2" fontId="0" fillId="0" borderId="0" xfId="0" applyNumberFormat="1" applyFill="1" applyAlignment="1">
      <alignment vertical="center"/>
    </xf>
    <xf numFmtId="0" fontId="0" fillId="0" borderId="0" xfId="1" applyNumberFormat="1" applyFont="1">
      <alignment vertical="center"/>
    </xf>
    <xf numFmtId="0" fontId="14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176" fontId="14" fillId="0" borderId="0" xfId="0" applyNumberFormat="1" applyFont="1" applyFill="1" applyAlignment="1">
      <alignment vertical="center"/>
    </xf>
    <xf numFmtId="0" fontId="14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right" vertical="center"/>
    </xf>
    <xf numFmtId="177" fontId="14" fillId="0" borderId="0" xfId="0" applyNumberFormat="1" applyFont="1" applyFill="1" applyAlignment="1">
      <alignment vertical="center"/>
    </xf>
    <xf numFmtId="178" fontId="14" fillId="0" borderId="0" xfId="0" applyNumberFormat="1" applyFont="1" applyFill="1" applyAlignment="1">
      <alignment vertical="center"/>
    </xf>
    <xf numFmtId="0" fontId="14" fillId="6" borderId="0" xfId="0" applyFont="1" applyFill="1" applyAlignment="1">
      <alignment vertical="center"/>
    </xf>
    <xf numFmtId="0" fontId="14" fillId="0" borderId="0" xfId="0" applyFont="1" applyFill="1" applyAlignment="1">
      <alignment horizontal="center" vertical="center"/>
    </xf>
    <xf numFmtId="0" fontId="17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43" fontId="17" fillId="3" borderId="1" xfId="1" applyFont="1" applyFill="1" applyBorder="1" applyAlignment="1">
      <alignment horizontal="right" vertical="center" wrapText="1"/>
    </xf>
    <xf numFmtId="177" fontId="17" fillId="0" borderId="1" xfId="1" applyNumberFormat="1" applyFont="1" applyFill="1" applyBorder="1" applyAlignment="1">
      <alignment horizontal="right" vertical="center" wrapText="1"/>
    </xf>
    <xf numFmtId="176" fontId="17" fillId="0" borderId="1" xfId="1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43" fontId="17" fillId="0" borderId="1" xfId="1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177" fontId="20" fillId="0" borderId="2" xfId="0" applyNumberFormat="1" applyFont="1" applyFill="1" applyBorder="1" applyAlignment="1">
      <alignment horizontal="center" vertical="center" wrapText="1"/>
    </xf>
    <xf numFmtId="177" fontId="20" fillId="0" borderId="1" xfId="0" applyNumberFormat="1" applyFont="1" applyFill="1" applyBorder="1" applyAlignment="1">
      <alignment horizontal="center" vertical="center" wrapText="1"/>
    </xf>
    <xf numFmtId="43" fontId="20" fillId="3" borderId="1" xfId="1" applyFont="1" applyFill="1" applyBorder="1" applyAlignment="1">
      <alignment horizontal="right" vertical="center" wrapText="1"/>
    </xf>
    <xf numFmtId="177" fontId="20" fillId="0" borderId="1" xfId="1" applyNumberFormat="1" applyFont="1" applyFill="1" applyBorder="1" applyAlignment="1">
      <alignment horizontal="right" vertical="center" wrapText="1"/>
    </xf>
    <xf numFmtId="176" fontId="20" fillId="0" borderId="1" xfId="1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177" fontId="17" fillId="0" borderId="1" xfId="0" applyNumberFormat="1" applyFont="1" applyFill="1" applyBorder="1" applyAlignment="1">
      <alignment horizontal="right" vertical="center" wrapText="1"/>
    </xf>
    <xf numFmtId="176" fontId="17" fillId="0" borderId="1" xfId="0" applyNumberFormat="1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43" fontId="20" fillId="4" borderId="1" xfId="1" applyFont="1" applyFill="1" applyBorder="1" applyAlignment="1">
      <alignment horizontal="right" vertical="center" wrapText="1"/>
    </xf>
    <xf numFmtId="43" fontId="17" fillId="4" borderId="1" xfId="1" applyFont="1" applyFill="1" applyBorder="1" applyAlignment="1">
      <alignment horizontal="right" vertical="center" wrapText="1"/>
    </xf>
    <xf numFmtId="179" fontId="20" fillId="0" borderId="1" xfId="1" applyNumberFormat="1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177" fontId="19" fillId="0" borderId="1" xfId="1" applyNumberFormat="1" applyFont="1" applyFill="1" applyBorder="1" applyAlignment="1">
      <alignment horizontal="right" vertical="center" wrapText="1"/>
    </xf>
    <xf numFmtId="176" fontId="19" fillId="0" borderId="1" xfId="1" applyNumberFormat="1" applyFont="1" applyFill="1" applyBorder="1" applyAlignment="1">
      <alignment horizontal="center" vertical="center" wrapText="1"/>
    </xf>
    <xf numFmtId="177" fontId="19" fillId="0" borderId="1" xfId="0" applyNumberFormat="1" applyFont="1" applyFill="1" applyBorder="1" applyAlignment="1">
      <alignment horizontal="right" vertical="center" wrapText="1"/>
    </xf>
    <xf numFmtId="176" fontId="19" fillId="0" borderId="1" xfId="0" applyNumberFormat="1" applyFont="1" applyFill="1" applyBorder="1" applyAlignment="1">
      <alignment horizontal="center" vertical="center" wrapText="1"/>
    </xf>
    <xf numFmtId="43" fontId="19" fillId="4" borderId="1" xfId="1" applyFont="1" applyFill="1" applyBorder="1" applyAlignment="1">
      <alignment horizontal="right" vertical="center" wrapText="1"/>
    </xf>
    <xf numFmtId="177" fontId="17" fillId="0" borderId="2" xfId="0" applyNumberFormat="1" applyFont="1" applyFill="1" applyBorder="1" applyAlignment="1">
      <alignment horizontal="center" vertical="center" wrapText="1"/>
    </xf>
    <xf numFmtId="177" fontId="17" fillId="0" borderId="1" xfId="0" applyNumberFormat="1" applyFont="1" applyFill="1" applyBorder="1" applyAlignment="1">
      <alignment horizontal="center" vertical="center" wrapText="1"/>
    </xf>
    <xf numFmtId="0" fontId="14" fillId="0" borderId="0" xfId="0" applyFont="1" applyFill="1" applyAlignment="1">
      <alignment vertical="top" wrapText="1"/>
    </xf>
    <xf numFmtId="0" fontId="14" fillId="0" borderId="0" xfId="0" applyFont="1" applyFill="1" applyAlignment="1">
      <alignment vertical="top"/>
    </xf>
    <xf numFmtId="177" fontId="6" fillId="0" borderId="1" xfId="0" applyNumberFormat="1" applyFont="1" applyFill="1" applyBorder="1" applyAlignment="1">
      <alignment horizontal="center" vertical="center" wrapText="1"/>
    </xf>
    <xf numFmtId="178" fontId="17" fillId="0" borderId="1" xfId="0" applyNumberFormat="1" applyFont="1" applyFill="1" applyBorder="1" applyAlignment="1">
      <alignment horizontal="center" vertical="center" wrapText="1"/>
    </xf>
    <xf numFmtId="178" fontId="15" fillId="0" borderId="1" xfId="0" applyNumberFormat="1" applyFont="1" applyFill="1" applyBorder="1" applyAlignment="1">
      <alignment vertical="center"/>
    </xf>
    <xf numFmtId="0" fontId="14" fillId="6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horizontal="right" vertical="center" wrapText="1"/>
    </xf>
    <xf numFmtId="0" fontId="16" fillId="6" borderId="1" xfId="0" applyFont="1" applyFill="1" applyBorder="1" applyAlignment="1">
      <alignment vertical="center"/>
    </xf>
    <xf numFmtId="0" fontId="14" fillId="6" borderId="1" xfId="0" applyFont="1" applyFill="1" applyBorder="1" applyAlignment="1">
      <alignment vertical="center"/>
    </xf>
    <xf numFmtId="43" fontId="14" fillId="0" borderId="0" xfId="0" applyNumberFormat="1" applyFont="1" applyFill="1" applyAlignment="1">
      <alignment vertical="center"/>
    </xf>
    <xf numFmtId="0" fontId="16" fillId="0" borderId="1" xfId="0" applyFont="1" applyFill="1" applyBorder="1" applyAlignment="1">
      <alignment vertical="center"/>
    </xf>
    <xf numFmtId="177" fontId="20" fillId="0" borderId="1" xfId="0" applyNumberFormat="1" applyFont="1" applyFill="1" applyBorder="1" applyAlignment="1">
      <alignment horizontal="right" vertical="center" wrapText="1"/>
    </xf>
    <xf numFmtId="178" fontId="20" fillId="0" borderId="1" xfId="0" applyNumberFormat="1" applyFont="1" applyFill="1" applyBorder="1" applyAlignment="1">
      <alignment horizontal="center" vertical="center" wrapText="1"/>
    </xf>
    <xf numFmtId="0" fontId="15" fillId="6" borderId="0" xfId="0" applyFont="1" applyFill="1" applyAlignment="1">
      <alignment vertical="center"/>
    </xf>
    <xf numFmtId="177" fontId="20" fillId="0" borderId="1" xfId="1" applyNumberFormat="1" applyFont="1" applyBorder="1" applyAlignment="1">
      <alignment horizontal="right" vertical="center" wrapText="1"/>
    </xf>
    <xf numFmtId="178" fontId="15" fillId="3" borderId="1" xfId="0" applyNumberFormat="1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178" fontId="14" fillId="3" borderId="1" xfId="0" applyNumberFormat="1" applyFont="1" applyFill="1" applyBorder="1" applyAlignment="1">
      <alignment vertical="center"/>
    </xf>
    <xf numFmtId="0" fontId="14" fillId="6" borderId="0" xfId="0" applyFont="1" applyFill="1" applyAlignment="1">
      <alignment vertical="center"/>
    </xf>
    <xf numFmtId="178" fontId="16" fillId="0" borderId="0" xfId="0" applyNumberFormat="1" applyFont="1" applyFill="1" applyAlignment="1">
      <alignment vertical="center"/>
    </xf>
    <xf numFmtId="177" fontId="19" fillId="0" borderId="1" xfId="0" applyNumberFormat="1" applyFont="1" applyFill="1" applyBorder="1" applyAlignment="1">
      <alignment horizontal="center" vertical="center" wrapText="1"/>
    </xf>
    <xf numFmtId="178" fontId="19" fillId="0" borderId="1" xfId="0" applyNumberFormat="1" applyFont="1" applyFill="1" applyBorder="1" applyAlignment="1">
      <alignment horizontal="center" vertical="center" wrapText="1"/>
    </xf>
    <xf numFmtId="178" fontId="16" fillId="3" borderId="1" xfId="0" applyNumberFormat="1" applyFont="1" applyFill="1" applyBorder="1" applyAlignment="1">
      <alignment vertical="center"/>
    </xf>
    <xf numFmtId="0" fontId="16" fillId="6" borderId="0" xfId="0" applyFont="1" applyFill="1" applyAlignment="1">
      <alignment vertical="center"/>
    </xf>
    <xf numFmtId="43" fontId="20" fillId="0" borderId="1" xfId="1" applyFont="1" applyBorder="1" applyAlignment="1">
      <alignment horizontal="right" vertical="center" wrapText="1"/>
    </xf>
    <xf numFmtId="43" fontId="14" fillId="3" borderId="0" xfId="1" applyFont="1" applyFill="1">
      <alignment vertical="center"/>
    </xf>
    <xf numFmtId="43" fontId="14" fillId="3" borderId="0" xfId="0" applyNumberFormat="1" applyFont="1" applyFill="1" applyAlignment="1">
      <alignment vertical="center"/>
    </xf>
    <xf numFmtId="0" fontId="16" fillId="0" borderId="0" xfId="0" applyFont="1" applyFill="1" applyAlignment="1">
      <alignment horizontal="center" vertical="center"/>
    </xf>
    <xf numFmtId="43" fontId="14" fillId="0" borderId="0" xfId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</xdr:colOff>
      <xdr:row>47</xdr:row>
      <xdr:rowOff>65405</xdr:rowOff>
    </xdr:from>
    <xdr:to>
      <xdr:col>3</xdr:col>
      <xdr:colOff>455295</xdr:colOff>
      <xdr:row>52</xdr:row>
      <xdr:rowOff>325755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" y="17686655"/>
          <a:ext cx="3448050" cy="2609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</xdr:colOff>
      <xdr:row>47</xdr:row>
      <xdr:rowOff>65405</xdr:rowOff>
    </xdr:from>
    <xdr:to>
      <xdr:col>3</xdr:col>
      <xdr:colOff>552450</xdr:colOff>
      <xdr:row>52</xdr:row>
      <xdr:rowOff>325120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" y="21744305"/>
          <a:ext cx="3519170" cy="26092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</xdr:colOff>
      <xdr:row>47</xdr:row>
      <xdr:rowOff>65405</xdr:rowOff>
    </xdr:from>
    <xdr:to>
      <xdr:col>3</xdr:col>
      <xdr:colOff>567055</xdr:colOff>
      <xdr:row>52</xdr:row>
      <xdr:rowOff>325120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" y="21693505"/>
          <a:ext cx="3500755" cy="26092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</xdr:colOff>
      <xdr:row>47</xdr:row>
      <xdr:rowOff>65405</xdr:rowOff>
    </xdr:from>
    <xdr:to>
      <xdr:col>3</xdr:col>
      <xdr:colOff>567055</xdr:colOff>
      <xdr:row>52</xdr:row>
      <xdr:rowOff>325120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" y="21693505"/>
          <a:ext cx="3500755" cy="26092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7"/>
  <sheetViews>
    <sheetView topLeftCell="D1" workbookViewId="0">
      <selection activeCell="H5" sqref="H5"/>
    </sheetView>
  </sheetViews>
  <sheetFormatPr defaultColWidth="9" defaultRowHeight="37" customHeight="1"/>
  <cols>
    <col min="1" max="1" width="12.4513274336283" style="73" customWidth="1"/>
    <col min="2" max="2" width="9" style="73"/>
    <col min="3" max="3" width="20.2743362831858" style="73" customWidth="1"/>
    <col min="4" max="4" width="13.0884955752212" style="73" customWidth="1"/>
    <col min="5" max="5" width="14.7256637168142" style="73" customWidth="1"/>
    <col min="6" max="7" width="14.7256637168142" style="76" customWidth="1"/>
    <col min="8" max="8" width="16.1858407079646" style="77" customWidth="1"/>
    <col min="9" max="9" width="13.6371681415929" style="78" customWidth="1"/>
    <col min="10" max="10" width="11.6371681415929" style="78" customWidth="1"/>
    <col min="11" max="11" width="11.8141592920354" style="79" customWidth="1"/>
    <col min="12" max="12" width="9.36283185840708" style="80"/>
    <col min="13" max="13" width="9" style="80" customWidth="1"/>
    <col min="14" max="14" width="9.27433628318584" style="81" customWidth="1"/>
    <col min="15" max="15" width="10.9115044247788" style="73" customWidth="1"/>
    <col min="16" max="16" width="12" style="73" customWidth="1"/>
    <col min="17" max="17" width="16.8141592920354" style="73" customWidth="1"/>
    <col min="18" max="18" width="9" style="73" customWidth="1"/>
    <col min="19" max="19" width="10.9115044247788" style="73" customWidth="1"/>
    <col min="20" max="21" width="12" style="73" customWidth="1"/>
    <col min="22" max="22" width="14.3628318584071" style="73" customWidth="1"/>
    <col min="23" max="23" width="15.2743362831858" style="73" customWidth="1"/>
    <col min="24" max="16384" width="9" style="73"/>
  </cols>
  <sheetData>
    <row r="1" s="73" customFormat="1" customHeight="1" spans="5:14">
      <c r="E1" s="82" t="s">
        <v>0</v>
      </c>
      <c r="F1" s="77"/>
      <c r="G1" s="77"/>
      <c r="H1" s="77"/>
      <c r="I1" s="77"/>
      <c r="J1" s="77"/>
      <c r="K1" s="77"/>
      <c r="L1" s="77"/>
      <c r="M1" s="77"/>
      <c r="N1" s="81"/>
    </row>
    <row r="2" s="73" customFormat="1" ht="43.5" customHeight="1" spans="1:23">
      <c r="A2" s="83"/>
      <c r="B2" s="84" t="s">
        <v>1</v>
      </c>
      <c r="C2" s="85" t="s">
        <v>2</v>
      </c>
      <c r="D2" s="84" t="s">
        <v>3</v>
      </c>
      <c r="E2" s="84" t="s">
        <v>4</v>
      </c>
      <c r="F2" s="57" t="s">
        <v>5</v>
      </c>
      <c r="G2" s="57" t="s">
        <v>6</v>
      </c>
      <c r="H2" s="84" t="s">
        <v>7</v>
      </c>
      <c r="I2" s="116" t="s">
        <v>8</v>
      </c>
      <c r="J2" s="116" t="s">
        <v>9</v>
      </c>
      <c r="K2" s="116" t="s">
        <v>10</v>
      </c>
      <c r="L2" s="38" t="s">
        <v>11</v>
      </c>
      <c r="M2" s="38" t="s">
        <v>12</v>
      </c>
      <c r="N2" s="81"/>
      <c r="V2" s="38" t="s">
        <v>13</v>
      </c>
      <c r="W2" s="38" t="s">
        <v>14</v>
      </c>
    </row>
    <row r="3" s="73" customFormat="1" ht="27" customHeight="1" spans="1:23">
      <c r="A3" s="83" t="s">
        <v>15</v>
      </c>
      <c r="B3" s="86" t="s">
        <v>16</v>
      </c>
      <c r="C3" s="24" t="s">
        <v>17</v>
      </c>
      <c r="D3" s="87">
        <v>81600</v>
      </c>
      <c r="E3" s="88">
        <v>1957788</v>
      </c>
      <c r="F3" s="89">
        <v>26</v>
      </c>
      <c r="G3" s="89">
        <v>24</v>
      </c>
      <c r="H3" s="90">
        <v>26</v>
      </c>
      <c r="I3" s="99">
        <v>1792404</v>
      </c>
      <c r="J3" s="99">
        <v>165384</v>
      </c>
      <c r="K3" s="113">
        <f t="shared" ref="K3:K31" si="0">I3/H3</f>
        <v>68938.6153846154</v>
      </c>
      <c r="L3" s="117">
        <f t="shared" ref="L3:L31" si="1">D3/H3</f>
        <v>3138.46153846154</v>
      </c>
      <c r="M3" s="118">
        <f t="shared" ref="M3:M31" si="2">E3/D3</f>
        <v>23.9925</v>
      </c>
      <c r="N3" s="119"/>
      <c r="O3" s="120"/>
      <c r="V3" s="140">
        <f t="shared" ref="V3:V32" si="3">D3/F3</f>
        <v>3138.46153846154</v>
      </c>
      <c r="W3" s="141">
        <f t="shared" ref="W3:W32" si="4">D3/G3</f>
        <v>3400</v>
      </c>
    </row>
    <row r="4" s="73" customFormat="1" ht="30" customHeight="1" spans="1:23">
      <c r="A4" s="83" t="s">
        <v>18</v>
      </c>
      <c r="B4" s="86" t="s">
        <v>19</v>
      </c>
      <c r="C4" s="24" t="s">
        <v>20</v>
      </c>
      <c r="D4" s="87">
        <v>70954.83</v>
      </c>
      <c r="E4" s="88">
        <v>1113365.37006255</v>
      </c>
      <c r="F4" s="89">
        <v>21</v>
      </c>
      <c r="G4" s="89">
        <v>21</v>
      </c>
      <c r="H4" s="86">
        <v>21</v>
      </c>
      <c r="I4" s="121">
        <v>1113365.37006255</v>
      </c>
      <c r="J4" s="99"/>
      <c r="K4" s="113">
        <f t="shared" si="0"/>
        <v>53017.3985744071</v>
      </c>
      <c r="L4" s="117">
        <f t="shared" si="1"/>
        <v>3378.80142857143</v>
      </c>
      <c r="M4" s="118">
        <f t="shared" si="2"/>
        <v>15.6911850829965</v>
      </c>
      <c r="N4" s="122" t="s">
        <v>21</v>
      </c>
      <c r="O4" s="120"/>
      <c r="P4" s="38" t="s">
        <v>13</v>
      </c>
      <c r="Q4" s="38" t="s">
        <v>14</v>
      </c>
      <c r="R4" s="70"/>
      <c r="S4" s="142" t="s">
        <v>22</v>
      </c>
      <c r="T4" s="38" t="s">
        <v>13</v>
      </c>
      <c r="U4" s="38" t="s">
        <v>14</v>
      </c>
      <c r="V4" s="140">
        <f t="shared" si="3"/>
        <v>3378.80142857143</v>
      </c>
      <c r="W4" s="141">
        <f t="shared" si="4"/>
        <v>3378.80142857143</v>
      </c>
    </row>
    <row r="5" s="73" customFormat="1" customHeight="1" spans="1:23">
      <c r="A5" s="83" t="s">
        <v>23</v>
      </c>
      <c r="B5" s="91" t="s">
        <v>24</v>
      </c>
      <c r="C5" s="24" t="s">
        <v>25</v>
      </c>
      <c r="D5" s="87">
        <v>52286</v>
      </c>
      <c r="E5" s="88">
        <v>1180643</v>
      </c>
      <c r="F5" s="89">
        <v>20</v>
      </c>
      <c r="G5" s="89">
        <v>20</v>
      </c>
      <c r="H5" s="86">
        <v>20</v>
      </c>
      <c r="I5" s="99">
        <v>947420</v>
      </c>
      <c r="J5" s="99">
        <v>233223</v>
      </c>
      <c r="K5" s="113">
        <f t="shared" si="0"/>
        <v>47371</v>
      </c>
      <c r="L5" s="117">
        <f t="shared" si="1"/>
        <v>2614.3</v>
      </c>
      <c r="M5" s="118">
        <f t="shared" si="2"/>
        <v>22.5804804345331</v>
      </c>
      <c r="N5" s="123" t="s">
        <v>26</v>
      </c>
      <c r="O5" s="79">
        <f>AVERAGE(L3:L14)</f>
        <v>2668.61842350248</v>
      </c>
      <c r="P5" s="124">
        <f>AVERAGE(V3:V14)</f>
        <v>2668.61842350248</v>
      </c>
      <c r="Q5" s="124">
        <f>AVERAGE(W3:W14)</f>
        <v>2739.50818233748</v>
      </c>
      <c r="S5" s="79">
        <f>AVERAGE(L3:L15)</f>
        <v>2540.29038500225</v>
      </c>
      <c r="T5" s="124">
        <f>AVERAGE(V3:V15)</f>
        <v>2540.29038500225</v>
      </c>
      <c r="U5" s="124">
        <f>AVERAGE(W3:W15)</f>
        <v>2604.7356203068</v>
      </c>
      <c r="V5" s="140">
        <f t="shared" si="3"/>
        <v>2614.3</v>
      </c>
      <c r="W5" s="141">
        <f t="shared" si="4"/>
        <v>2614.3</v>
      </c>
    </row>
    <row r="6" s="73" customFormat="1" customHeight="1" spans="1:23">
      <c r="A6" s="83" t="s">
        <v>27</v>
      </c>
      <c r="B6" s="86" t="s">
        <v>28</v>
      </c>
      <c r="C6" s="24" t="s">
        <v>29</v>
      </c>
      <c r="D6" s="87">
        <v>51859.87</v>
      </c>
      <c r="E6" s="88">
        <v>3466711.2</v>
      </c>
      <c r="F6" s="89">
        <v>27</v>
      </c>
      <c r="G6" s="89">
        <v>27</v>
      </c>
      <c r="H6" s="86">
        <v>52</v>
      </c>
      <c r="I6" s="99">
        <v>3346711.2</v>
      </c>
      <c r="J6" s="99">
        <v>120000</v>
      </c>
      <c r="K6" s="113"/>
      <c r="L6" s="117"/>
      <c r="M6" s="118"/>
      <c r="N6" s="123" t="s">
        <v>30</v>
      </c>
      <c r="O6" s="120">
        <v>6.14</v>
      </c>
      <c r="S6" s="77">
        <v>6.13</v>
      </c>
      <c r="V6" s="140"/>
      <c r="W6" s="141"/>
    </row>
    <row r="7" s="73" customFormat="1" customHeight="1" spans="1:23">
      <c r="A7" s="83" t="s">
        <v>31</v>
      </c>
      <c r="B7" s="86" t="s">
        <v>32</v>
      </c>
      <c r="C7" s="24" t="s">
        <v>33</v>
      </c>
      <c r="D7" s="87">
        <v>45904.61</v>
      </c>
      <c r="E7" s="88">
        <v>1967199.86</v>
      </c>
      <c r="F7" s="89">
        <v>23</v>
      </c>
      <c r="G7" s="89">
        <v>21</v>
      </c>
      <c r="H7" s="86">
        <v>23</v>
      </c>
      <c r="I7" s="99">
        <v>1867419.86</v>
      </c>
      <c r="J7" s="99">
        <v>99780</v>
      </c>
      <c r="K7" s="113"/>
      <c r="L7" s="117"/>
      <c r="M7" s="118"/>
      <c r="N7" s="123" t="s">
        <v>34</v>
      </c>
      <c r="O7" s="125">
        <v>26.45</v>
      </c>
      <c r="S7" s="142">
        <v>29.1</v>
      </c>
      <c r="V7" s="140"/>
      <c r="W7" s="141"/>
    </row>
    <row r="8" s="73" customFormat="1" customHeight="1" spans="1:23">
      <c r="A8" s="83" t="s">
        <v>35</v>
      </c>
      <c r="B8" s="86" t="s">
        <v>36</v>
      </c>
      <c r="C8" s="24" t="s">
        <v>37</v>
      </c>
      <c r="D8" s="87">
        <v>44485.68</v>
      </c>
      <c r="E8" s="88">
        <v>1081031.71258381</v>
      </c>
      <c r="F8" s="89">
        <v>16</v>
      </c>
      <c r="G8" s="89">
        <v>16</v>
      </c>
      <c r="H8" s="92">
        <v>16</v>
      </c>
      <c r="I8" s="99">
        <v>1078451.8929252</v>
      </c>
      <c r="J8" s="99">
        <v>2579.82258381207</v>
      </c>
      <c r="K8" s="113">
        <f t="shared" si="0"/>
        <v>67403.243307825</v>
      </c>
      <c r="L8" s="117">
        <f t="shared" si="1"/>
        <v>2780.355</v>
      </c>
      <c r="M8" s="118">
        <f t="shared" si="2"/>
        <v>24.3006673739462</v>
      </c>
      <c r="N8" s="81"/>
      <c r="V8" s="140">
        <f t="shared" si="3"/>
        <v>2780.355</v>
      </c>
      <c r="W8" s="141">
        <f t="shared" si="4"/>
        <v>2780.355</v>
      </c>
    </row>
    <row r="9" s="74" customFormat="1" customHeight="1" spans="1:23">
      <c r="A9" s="93" t="s">
        <v>38</v>
      </c>
      <c r="B9" s="94" t="s">
        <v>39</v>
      </c>
      <c r="C9" s="24" t="s">
        <v>40</v>
      </c>
      <c r="D9" s="95">
        <v>43229.29</v>
      </c>
      <c r="E9" s="96">
        <v>1163600</v>
      </c>
      <c r="F9" s="97">
        <v>17</v>
      </c>
      <c r="G9" s="97">
        <v>17</v>
      </c>
      <c r="H9" s="98">
        <v>17</v>
      </c>
      <c r="I9" s="96">
        <v>1163607.5</v>
      </c>
      <c r="J9" s="126"/>
      <c r="K9" s="94">
        <f t="shared" si="0"/>
        <v>68447.5</v>
      </c>
      <c r="L9" s="127">
        <f t="shared" si="1"/>
        <v>2542.89941176471</v>
      </c>
      <c r="M9" s="118">
        <f t="shared" si="2"/>
        <v>26.9169352538522</v>
      </c>
      <c r="N9" s="128"/>
      <c r="V9" s="140">
        <f t="shared" si="3"/>
        <v>2542.89941176471</v>
      </c>
      <c r="W9" s="141">
        <f t="shared" si="4"/>
        <v>2542.89941176471</v>
      </c>
    </row>
    <row r="10" s="73" customFormat="1" customHeight="1" spans="1:23">
      <c r="A10" s="83" t="s">
        <v>41</v>
      </c>
      <c r="B10" s="86" t="s">
        <v>42</v>
      </c>
      <c r="C10" s="24" t="s">
        <v>43</v>
      </c>
      <c r="D10" s="87">
        <v>40480.99</v>
      </c>
      <c r="E10" s="99">
        <v>1846491.2</v>
      </c>
      <c r="F10" s="100">
        <v>24</v>
      </c>
      <c r="G10" s="100">
        <v>23</v>
      </c>
      <c r="H10" s="98">
        <v>24</v>
      </c>
      <c r="I10" s="129">
        <v>1750043.2</v>
      </c>
      <c r="J10" s="129">
        <v>96448</v>
      </c>
      <c r="K10" s="113">
        <f t="shared" si="0"/>
        <v>72918.4666666667</v>
      </c>
      <c r="L10" s="117">
        <f t="shared" si="1"/>
        <v>1686.70791666667</v>
      </c>
      <c r="M10" s="118">
        <f t="shared" si="2"/>
        <v>45.6137856312309</v>
      </c>
      <c r="N10" s="81"/>
      <c r="V10" s="140">
        <f t="shared" si="3"/>
        <v>1686.70791666667</v>
      </c>
      <c r="W10" s="141">
        <f t="shared" si="4"/>
        <v>1760.04304347826</v>
      </c>
    </row>
    <row r="11" s="73" customFormat="1" customHeight="1" spans="1:23">
      <c r="A11" s="83" t="s">
        <v>44</v>
      </c>
      <c r="B11" s="86"/>
      <c r="C11" s="24" t="s">
        <v>45</v>
      </c>
      <c r="D11" s="87">
        <v>40127.7</v>
      </c>
      <c r="E11" s="88">
        <v>694127.19</v>
      </c>
      <c r="F11" s="89">
        <v>13</v>
      </c>
      <c r="G11" s="89">
        <v>13</v>
      </c>
      <c r="H11" s="86">
        <v>13</v>
      </c>
      <c r="I11" s="99">
        <v>694127.19</v>
      </c>
      <c r="J11" s="99"/>
      <c r="K11" s="113">
        <f t="shared" si="0"/>
        <v>53394.3992307692</v>
      </c>
      <c r="L11" s="117">
        <f t="shared" si="1"/>
        <v>3086.74615384615</v>
      </c>
      <c r="M11" s="118">
        <f t="shared" si="2"/>
        <v>17.2979560253889</v>
      </c>
      <c r="N11" s="81"/>
      <c r="V11" s="140">
        <f t="shared" si="3"/>
        <v>3086.74615384615</v>
      </c>
      <c r="W11" s="141">
        <f t="shared" si="4"/>
        <v>3086.74615384615</v>
      </c>
    </row>
    <row r="12" s="73" customFormat="1" customHeight="1" spans="1:23">
      <c r="A12" s="83" t="s">
        <v>46</v>
      </c>
      <c r="B12" s="86" t="s">
        <v>47</v>
      </c>
      <c r="C12" s="24" t="s">
        <v>48</v>
      </c>
      <c r="D12" s="87">
        <v>39325.6</v>
      </c>
      <c r="E12" s="88">
        <v>1194669</v>
      </c>
      <c r="F12" s="89">
        <v>21</v>
      </c>
      <c r="G12" s="89">
        <v>21</v>
      </c>
      <c r="H12" s="86">
        <v>21</v>
      </c>
      <c r="I12" s="129">
        <v>1194669</v>
      </c>
      <c r="J12" s="99"/>
      <c r="K12" s="113">
        <f t="shared" si="0"/>
        <v>56889</v>
      </c>
      <c r="L12" s="117">
        <f t="shared" si="1"/>
        <v>1872.64761904762</v>
      </c>
      <c r="M12" s="118">
        <f t="shared" si="2"/>
        <v>30.3789134812946</v>
      </c>
      <c r="N12" s="81"/>
      <c r="V12" s="140">
        <f t="shared" si="3"/>
        <v>1872.64761904762</v>
      </c>
      <c r="W12" s="141">
        <f t="shared" si="4"/>
        <v>1872.64761904762</v>
      </c>
    </row>
    <row r="13" s="73" customFormat="1" customHeight="1" spans="1:23">
      <c r="A13" s="83" t="s">
        <v>49</v>
      </c>
      <c r="B13" s="86" t="s">
        <v>42</v>
      </c>
      <c r="C13" s="24" t="s">
        <v>50</v>
      </c>
      <c r="D13" s="87">
        <v>37849.31</v>
      </c>
      <c r="E13" s="99">
        <v>733916.475</v>
      </c>
      <c r="F13" s="100">
        <v>12</v>
      </c>
      <c r="G13" s="100">
        <v>12</v>
      </c>
      <c r="H13" s="86">
        <v>12</v>
      </c>
      <c r="I13" s="99">
        <v>691200</v>
      </c>
      <c r="J13" s="99">
        <v>42700</v>
      </c>
      <c r="K13" s="113">
        <f t="shared" si="0"/>
        <v>57600</v>
      </c>
      <c r="L13" s="117">
        <f t="shared" si="1"/>
        <v>3154.10916666667</v>
      </c>
      <c r="M13" s="118">
        <f t="shared" si="2"/>
        <v>19.3904849256169</v>
      </c>
      <c r="N13" s="81"/>
      <c r="V13" s="140">
        <f t="shared" si="3"/>
        <v>3154.10916666667</v>
      </c>
      <c r="W13" s="141">
        <f t="shared" si="4"/>
        <v>3154.10916666667</v>
      </c>
    </row>
    <row r="14" s="73" customFormat="1" customHeight="1" spans="1:23">
      <c r="A14" s="83" t="s">
        <v>51</v>
      </c>
      <c r="B14" s="86" t="s">
        <v>52</v>
      </c>
      <c r="C14" s="24" t="s">
        <v>53</v>
      </c>
      <c r="D14" s="87">
        <v>36467.34</v>
      </c>
      <c r="E14" s="88">
        <v>1396326.93</v>
      </c>
      <c r="F14" s="89">
        <v>15</v>
      </c>
      <c r="G14" s="89">
        <v>13</v>
      </c>
      <c r="H14" s="86">
        <v>15</v>
      </c>
      <c r="I14" s="99">
        <v>1013601</v>
      </c>
      <c r="J14" s="99">
        <v>382725.93</v>
      </c>
      <c r="K14" s="113">
        <f t="shared" si="0"/>
        <v>67573.4</v>
      </c>
      <c r="L14" s="117">
        <f t="shared" si="1"/>
        <v>2431.156</v>
      </c>
      <c r="M14" s="118">
        <f t="shared" si="2"/>
        <v>38.289793826476</v>
      </c>
      <c r="N14" s="81"/>
      <c r="V14" s="140">
        <f t="shared" si="3"/>
        <v>2431.156</v>
      </c>
      <c r="W14" s="141">
        <f t="shared" si="4"/>
        <v>2805.18</v>
      </c>
    </row>
    <row r="15" s="75" customFormat="1" customHeight="1" spans="1:23">
      <c r="A15" s="101" t="s">
        <v>54</v>
      </c>
      <c r="B15" s="98" t="s">
        <v>55</v>
      </c>
      <c r="C15" s="24" t="s">
        <v>56</v>
      </c>
      <c r="D15" s="102">
        <v>35196.28</v>
      </c>
      <c r="E15" s="96">
        <v>1959840</v>
      </c>
      <c r="F15" s="97">
        <v>28</v>
      </c>
      <c r="G15" s="97">
        <v>28</v>
      </c>
      <c r="H15" s="98">
        <v>28</v>
      </c>
      <c r="I15" s="109">
        <v>1695610</v>
      </c>
      <c r="J15" s="109"/>
      <c r="K15" s="94">
        <f t="shared" si="0"/>
        <v>60557.5</v>
      </c>
      <c r="L15" s="127">
        <f t="shared" si="1"/>
        <v>1257.01</v>
      </c>
      <c r="M15" s="130">
        <f t="shared" si="2"/>
        <v>55.6831574245915</v>
      </c>
      <c r="N15" s="131"/>
      <c r="V15" s="143">
        <f t="shared" si="3"/>
        <v>1257.01</v>
      </c>
      <c r="W15" s="124">
        <f t="shared" si="4"/>
        <v>1257.01</v>
      </c>
    </row>
    <row r="16" s="73" customFormat="1" customHeight="1" spans="1:23">
      <c r="A16" s="83" t="s">
        <v>57</v>
      </c>
      <c r="B16" s="86" t="s">
        <v>58</v>
      </c>
      <c r="C16" s="24" t="s">
        <v>59</v>
      </c>
      <c r="D16" s="103">
        <v>34541</v>
      </c>
      <c r="E16" s="96">
        <v>960000</v>
      </c>
      <c r="F16" s="97">
        <v>18</v>
      </c>
      <c r="G16" s="97">
        <v>17</v>
      </c>
      <c r="H16" s="86">
        <v>18</v>
      </c>
      <c r="I16" s="99">
        <v>960000</v>
      </c>
      <c r="J16" s="99"/>
      <c r="K16" s="113">
        <f t="shared" si="0"/>
        <v>53333.3333333333</v>
      </c>
      <c r="L16" s="117">
        <f t="shared" si="1"/>
        <v>1918.94444444444</v>
      </c>
      <c r="M16" s="132">
        <f t="shared" si="2"/>
        <v>27.7930575258389</v>
      </c>
      <c r="N16" s="133" t="s">
        <v>26</v>
      </c>
      <c r="O16" s="134">
        <f>AVERAGE(L15:L31)</f>
        <v>2330.97816667977</v>
      </c>
      <c r="P16" s="134">
        <f>AVERAGE(V15:V31)</f>
        <v>2355.45187242904</v>
      </c>
      <c r="Q16" s="134">
        <f>AVERAGE(W15:W31)</f>
        <v>2380.51767456136</v>
      </c>
      <c r="S16" s="80">
        <f>AVERAGE(L16:L31)</f>
        <v>2398.10117709726</v>
      </c>
      <c r="T16" s="80">
        <f>AVERAGE(V16:V31)</f>
        <v>2424.10448945586</v>
      </c>
      <c r="U16" s="80">
        <f>AVERAGE(W16:W31)</f>
        <v>2450.73690422144</v>
      </c>
      <c r="V16" s="143">
        <f t="shared" si="3"/>
        <v>1918.94444444444</v>
      </c>
      <c r="W16" s="124">
        <f t="shared" si="4"/>
        <v>2031.82352941176</v>
      </c>
    </row>
    <row r="17" s="73" customFormat="1" customHeight="1" spans="1:23">
      <c r="A17" s="83" t="s">
        <v>60</v>
      </c>
      <c r="B17" s="86" t="s">
        <v>61</v>
      </c>
      <c r="C17" s="24" t="s">
        <v>62</v>
      </c>
      <c r="D17" s="103">
        <v>31503.17</v>
      </c>
      <c r="E17" s="99">
        <v>950400</v>
      </c>
      <c r="F17" s="100">
        <v>16</v>
      </c>
      <c r="G17" s="100">
        <v>16</v>
      </c>
      <c r="H17" s="104">
        <v>16</v>
      </c>
      <c r="I17" s="129">
        <v>908772</v>
      </c>
      <c r="J17" s="129">
        <v>41628</v>
      </c>
      <c r="K17" s="113">
        <f t="shared" si="0"/>
        <v>56798.25</v>
      </c>
      <c r="L17" s="117">
        <f t="shared" si="1"/>
        <v>1968.948125</v>
      </c>
      <c r="M17" s="132">
        <f t="shared" si="2"/>
        <v>30.1683925776358</v>
      </c>
      <c r="N17" s="133" t="s">
        <v>30</v>
      </c>
      <c r="O17" s="73">
        <v>5.68</v>
      </c>
      <c r="S17" s="73">
        <v>5.65</v>
      </c>
      <c r="V17" s="143">
        <f t="shared" si="3"/>
        <v>1968.948125</v>
      </c>
      <c r="W17" s="124">
        <f t="shared" si="4"/>
        <v>1968.948125</v>
      </c>
    </row>
    <row r="18" s="73" customFormat="1" customHeight="1" spans="1:23">
      <c r="A18" s="83" t="s">
        <v>63</v>
      </c>
      <c r="B18" s="86" t="s">
        <v>64</v>
      </c>
      <c r="C18" s="24" t="s">
        <v>65</v>
      </c>
      <c r="D18" s="103">
        <v>30360</v>
      </c>
      <c r="E18" s="88">
        <v>946948.2824544</v>
      </c>
      <c r="F18" s="89">
        <v>13</v>
      </c>
      <c r="G18" s="89">
        <v>12</v>
      </c>
      <c r="H18" s="86">
        <v>15</v>
      </c>
      <c r="I18" s="96">
        <v>913254.3634176</v>
      </c>
      <c r="J18" s="96">
        <v>2425.55136</v>
      </c>
      <c r="K18" s="113">
        <f t="shared" si="0"/>
        <v>60883.62422784</v>
      </c>
      <c r="L18" s="117">
        <f t="shared" si="1"/>
        <v>2024</v>
      </c>
      <c r="M18" s="132">
        <f t="shared" si="2"/>
        <v>31.1906548898024</v>
      </c>
      <c r="N18" s="133" t="s">
        <v>34</v>
      </c>
      <c r="O18" s="75">
        <v>28.79</v>
      </c>
      <c r="S18" s="75">
        <v>27.11</v>
      </c>
      <c r="V18" s="143">
        <f t="shared" si="3"/>
        <v>2335.38461538462</v>
      </c>
      <c r="W18" s="124">
        <f t="shared" si="4"/>
        <v>2530</v>
      </c>
    </row>
    <row r="19" s="75" customFormat="1" customHeight="1" spans="1:23">
      <c r="A19" s="105" t="s">
        <v>66</v>
      </c>
      <c r="B19" s="98" t="s">
        <v>67</v>
      </c>
      <c r="C19" s="106" t="s">
        <v>68</v>
      </c>
      <c r="D19" s="102">
        <v>28469.8</v>
      </c>
      <c r="E19" s="107">
        <v>1142870.3457585</v>
      </c>
      <c r="F19" s="108">
        <v>16</v>
      </c>
      <c r="G19" s="108">
        <v>15</v>
      </c>
      <c r="H19" s="92">
        <v>17</v>
      </c>
      <c r="I19" s="109">
        <v>1077475.30414224</v>
      </c>
      <c r="J19" s="109">
        <v>65395.0416162619</v>
      </c>
      <c r="K19" s="135">
        <f t="shared" si="0"/>
        <v>63380.9002436612</v>
      </c>
      <c r="L19" s="136">
        <f t="shared" si="1"/>
        <v>1674.69411764706</v>
      </c>
      <c r="M19" s="137">
        <f t="shared" si="2"/>
        <v>40.1432516476582</v>
      </c>
      <c r="N19" s="138"/>
      <c r="V19" s="143">
        <f t="shared" si="3"/>
        <v>1779.3625</v>
      </c>
      <c r="W19" s="124">
        <f t="shared" si="4"/>
        <v>1897.98666666667</v>
      </c>
    </row>
    <row r="20" s="73" customFormat="1" customHeight="1" spans="1:23">
      <c r="A20" s="83" t="s">
        <v>69</v>
      </c>
      <c r="B20" s="86" t="s">
        <v>70</v>
      </c>
      <c r="C20" s="24" t="s">
        <v>71</v>
      </c>
      <c r="D20" s="103">
        <v>25450</v>
      </c>
      <c r="E20" s="99">
        <v>621896.660207827</v>
      </c>
      <c r="F20" s="100">
        <v>12</v>
      </c>
      <c r="G20" s="100">
        <v>12</v>
      </c>
      <c r="H20" s="86">
        <v>12</v>
      </c>
      <c r="I20" s="139">
        <v>610945.828698142</v>
      </c>
      <c r="J20" s="139">
        <v>10950.8315096847</v>
      </c>
      <c r="K20" s="113">
        <f t="shared" si="0"/>
        <v>50912.1523915118</v>
      </c>
      <c r="L20" s="117">
        <f t="shared" si="1"/>
        <v>2120.83333333333</v>
      </c>
      <c r="M20" s="132">
        <f t="shared" si="2"/>
        <v>24.4360180828223</v>
      </c>
      <c r="N20" s="81"/>
      <c r="V20" s="143">
        <f t="shared" si="3"/>
        <v>2120.83333333333</v>
      </c>
      <c r="W20" s="124">
        <f t="shared" si="4"/>
        <v>2120.83333333333</v>
      </c>
    </row>
    <row r="21" s="73" customFormat="1" customHeight="1" spans="1:23">
      <c r="A21" s="83" t="s">
        <v>72</v>
      </c>
      <c r="B21" s="86" t="s">
        <v>73</v>
      </c>
      <c r="C21" s="24" t="s">
        <v>74</v>
      </c>
      <c r="D21" s="103">
        <v>24839.87</v>
      </c>
      <c r="E21" s="88">
        <v>600000.28</v>
      </c>
      <c r="F21" s="89">
        <v>9</v>
      </c>
      <c r="G21" s="89">
        <v>9</v>
      </c>
      <c r="H21" s="86">
        <v>9</v>
      </c>
      <c r="I21" s="129">
        <v>559824</v>
      </c>
      <c r="J21" s="129">
        <v>40176.28</v>
      </c>
      <c r="K21" s="113">
        <f t="shared" si="0"/>
        <v>62202.6666666667</v>
      </c>
      <c r="L21" s="117">
        <f t="shared" si="1"/>
        <v>2759.98555555556</v>
      </c>
      <c r="M21" s="132">
        <f t="shared" si="2"/>
        <v>24.1547270577503</v>
      </c>
      <c r="N21" s="81"/>
      <c r="V21" s="143">
        <f t="shared" si="3"/>
        <v>2759.98555555556</v>
      </c>
      <c r="W21" s="124">
        <f t="shared" si="4"/>
        <v>2759.98555555556</v>
      </c>
    </row>
    <row r="22" s="73" customFormat="1" customHeight="1" spans="1:23">
      <c r="A22" s="83" t="s">
        <v>75</v>
      </c>
      <c r="B22" s="86" t="s">
        <v>76</v>
      </c>
      <c r="C22" s="24" t="s">
        <v>77</v>
      </c>
      <c r="D22" s="103">
        <v>24115.18</v>
      </c>
      <c r="E22" s="88">
        <v>609180</v>
      </c>
      <c r="F22" s="89">
        <v>11</v>
      </c>
      <c r="G22" s="89">
        <v>11</v>
      </c>
      <c r="H22" s="86">
        <v>11</v>
      </c>
      <c r="I22" s="99">
        <v>609180</v>
      </c>
      <c r="J22" s="99"/>
      <c r="K22" s="113">
        <f t="shared" si="0"/>
        <v>55380</v>
      </c>
      <c r="L22" s="117">
        <f t="shared" si="1"/>
        <v>2192.28909090909</v>
      </c>
      <c r="M22" s="132">
        <f t="shared" si="2"/>
        <v>25.2612669696017</v>
      </c>
      <c r="N22" s="81"/>
      <c r="V22" s="143">
        <f t="shared" si="3"/>
        <v>2192.28909090909</v>
      </c>
      <c r="W22" s="124">
        <f t="shared" si="4"/>
        <v>2192.28909090909</v>
      </c>
    </row>
    <row r="23" s="75" customFormat="1" customHeight="1" spans="1:23">
      <c r="A23" s="101" t="s">
        <v>78</v>
      </c>
      <c r="B23" s="98" t="s">
        <v>79</v>
      </c>
      <c r="C23" s="24" t="s">
        <v>80</v>
      </c>
      <c r="D23" s="102">
        <v>23154.69</v>
      </c>
      <c r="E23" s="109">
        <v>633652.867061621</v>
      </c>
      <c r="F23" s="110">
        <v>9</v>
      </c>
      <c r="G23" s="110">
        <v>9</v>
      </c>
      <c r="H23" s="98">
        <v>9</v>
      </c>
      <c r="I23" s="109">
        <v>450284.18</v>
      </c>
      <c r="J23" s="109">
        <v>183368.687061621</v>
      </c>
      <c r="K23" s="135">
        <f t="shared" si="0"/>
        <v>50031.5755555556</v>
      </c>
      <c r="L23" s="136">
        <f t="shared" si="1"/>
        <v>2572.74333333333</v>
      </c>
      <c r="M23" s="137">
        <f t="shared" si="2"/>
        <v>27.3660699867552</v>
      </c>
      <c r="N23" s="138"/>
      <c r="V23" s="143">
        <f t="shared" si="3"/>
        <v>2572.74333333333</v>
      </c>
      <c r="W23" s="124">
        <f t="shared" si="4"/>
        <v>2572.74333333333</v>
      </c>
    </row>
    <row r="24" s="73" customFormat="1" customHeight="1" spans="1:23">
      <c r="A24" s="83" t="s">
        <v>81</v>
      </c>
      <c r="B24" s="86" t="s">
        <v>82</v>
      </c>
      <c r="C24" s="24" t="s">
        <v>83</v>
      </c>
      <c r="D24" s="103">
        <v>23000.42</v>
      </c>
      <c r="E24" s="88">
        <v>613745.74</v>
      </c>
      <c r="F24" s="89">
        <v>8</v>
      </c>
      <c r="G24" s="89">
        <v>8</v>
      </c>
      <c r="H24" s="86">
        <v>8</v>
      </c>
      <c r="I24" s="99">
        <v>465598.54</v>
      </c>
      <c r="J24" s="99">
        <v>18147.2</v>
      </c>
      <c r="K24" s="113">
        <f t="shared" si="0"/>
        <v>58199.8175</v>
      </c>
      <c r="L24" s="117">
        <f t="shared" si="1"/>
        <v>2875.0525</v>
      </c>
      <c r="M24" s="132">
        <f t="shared" si="2"/>
        <v>26.6841101162501</v>
      </c>
      <c r="N24" s="81"/>
      <c r="V24" s="143">
        <f t="shared" si="3"/>
        <v>2875.0525</v>
      </c>
      <c r="W24" s="124">
        <f t="shared" si="4"/>
        <v>2875.0525</v>
      </c>
    </row>
    <row r="25" s="73" customFormat="1" customHeight="1" spans="1:23">
      <c r="A25" s="83" t="s">
        <v>75</v>
      </c>
      <c r="B25" s="86" t="s">
        <v>82</v>
      </c>
      <c r="C25" s="24" t="s">
        <v>84</v>
      </c>
      <c r="D25" s="103">
        <v>22068.71</v>
      </c>
      <c r="E25" s="88">
        <v>555600</v>
      </c>
      <c r="F25" s="89">
        <v>10</v>
      </c>
      <c r="G25" s="89">
        <v>10</v>
      </c>
      <c r="H25" s="86">
        <v>10</v>
      </c>
      <c r="I25" s="99">
        <v>555600</v>
      </c>
      <c r="J25" s="99"/>
      <c r="K25" s="113">
        <f t="shared" si="0"/>
        <v>55560</v>
      </c>
      <c r="L25" s="117">
        <f t="shared" si="1"/>
        <v>2206.871</v>
      </c>
      <c r="M25" s="132">
        <f t="shared" si="2"/>
        <v>25.1759164899081</v>
      </c>
      <c r="N25" s="81"/>
      <c r="V25" s="143">
        <f t="shared" si="3"/>
        <v>2206.871</v>
      </c>
      <c r="W25" s="124">
        <f t="shared" si="4"/>
        <v>2206.871</v>
      </c>
    </row>
    <row r="26" s="73" customFormat="1" customHeight="1" spans="1:23">
      <c r="A26" s="83" t="s">
        <v>41</v>
      </c>
      <c r="B26" s="86" t="s">
        <v>85</v>
      </c>
      <c r="C26" s="24" t="s">
        <v>86</v>
      </c>
      <c r="D26" s="103">
        <v>17920</v>
      </c>
      <c r="E26" s="99">
        <v>194448.05</v>
      </c>
      <c r="F26" s="100">
        <v>5</v>
      </c>
      <c r="G26" s="100">
        <v>5</v>
      </c>
      <c r="H26" s="104">
        <v>5</v>
      </c>
      <c r="I26" s="129">
        <v>188748.05</v>
      </c>
      <c r="J26" s="129">
        <v>5700</v>
      </c>
      <c r="K26" s="113">
        <f t="shared" si="0"/>
        <v>37749.61</v>
      </c>
      <c r="L26" s="117">
        <f t="shared" si="1"/>
        <v>3584</v>
      </c>
      <c r="M26" s="132">
        <f t="shared" si="2"/>
        <v>10.8508956473214</v>
      </c>
      <c r="N26" s="81"/>
      <c r="V26" s="143">
        <f t="shared" si="3"/>
        <v>3584</v>
      </c>
      <c r="W26" s="124">
        <f t="shared" si="4"/>
        <v>3584</v>
      </c>
    </row>
    <row r="27" s="73" customFormat="1" customHeight="1" spans="1:23">
      <c r="A27" s="83" t="s">
        <v>69</v>
      </c>
      <c r="B27" s="86" t="s">
        <v>87</v>
      </c>
      <c r="C27" s="24" t="s">
        <v>88</v>
      </c>
      <c r="D27" s="103">
        <v>16706.14</v>
      </c>
      <c r="E27" s="99">
        <v>492276.385115007</v>
      </c>
      <c r="F27" s="100">
        <v>10</v>
      </c>
      <c r="G27" s="100">
        <v>10</v>
      </c>
      <c r="H27" s="86">
        <v>10</v>
      </c>
      <c r="I27" s="139">
        <v>481325.553605322</v>
      </c>
      <c r="J27" s="139">
        <v>10950.8315096847</v>
      </c>
      <c r="K27" s="113">
        <f t="shared" si="0"/>
        <v>48132.5553605322</v>
      </c>
      <c r="L27" s="117">
        <f t="shared" si="1"/>
        <v>1670.614</v>
      </c>
      <c r="M27" s="132">
        <f t="shared" si="2"/>
        <v>29.4667939521043</v>
      </c>
      <c r="N27" s="81"/>
      <c r="V27" s="143">
        <f t="shared" si="3"/>
        <v>1670.614</v>
      </c>
      <c r="W27" s="124">
        <f t="shared" si="4"/>
        <v>1670.614</v>
      </c>
    </row>
    <row r="28" s="75" customFormat="1" customHeight="1" spans="1:23">
      <c r="A28" s="93" t="s">
        <v>38</v>
      </c>
      <c r="B28" s="94" t="s">
        <v>58</v>
      </c>
      <c r="C28" s="106" t="s">
        <v>89</v>
      </c>
      <c r="D28" s="111">
        <v>14987.06</v>
      </c>
      <c r="E28" s="107">
        <v>547580</v>
      </c>
      <c r="F28" s="108">
        <v>8</v>
      </c>
      <c r="G28" s="108">
        <v>8</v>
      </c>
      <c r="H28" s="92">
        <v>8</v>
      </c>
      <c r="I28" s="107">
        <v>547580</v>
      </c>
      <c r="J28" s="109"/>
      <c r="K28" s="135">
        <f t="shared" si="0"/>
        <v>68447.5</v>
      </c>
      <c r="L28" s="136">
        <f t="shared" si="1"/>
        <v>1873.3825</v>
      </c>
      <c r="M28" s="137">
        <f t="shared" si="2"/>
        <v>36.5368524580538</v>
      </c>
      <c r="N28" s="138"/>
      <c r="V28" s="143">
        <f t="shared" si="3"/>
        <v>1873.3825</v>
      </c>
      <c r="W28" s="124">
        <f t="shared" si="4"/>
        <v>1873.3825</v>
      </c>
    </row>
    <row r="29" s="73" customFormat="1" customHeight="1" spans="1:23">
      <c r="A29" s="83" t="s">
        <v>49</v>
      </c>
      <c r="B29" s="86" t="s">
        <v>90</v>
      </c>
      <c r="C29" s="24" t="s">
        <v>91</v>
      </c>
      <c r="D29" s="103">
        <v>11624.55</v>
      </c>
      <c r="E29" s="99">
        <v>244638.825</v>
      </c>
      <c r="F29" s="100">
        <v>4</v>
      </c>
      <c r="G29" s="100">
        <v>4</v>
      </c>
      <c r="H29" s="86">
        <v>4</v>
      </c>
      <c r="I29" s="99">
        <v>230400</v>
      </c>
      <c r="J29" s="99">
        <v>14200</v>
      </c>
      <c r="K29" s="113">
        <f t="shared" si="0"/>
        <v>57600</v>
      </c>
      <c r="L29" s="117">
        <f t="shared" si="1"/>
        <v>2906.1375</v>
      </c>
      <c r="M29" s="132">
        <f t="shared" si="2"/>
        <v>21.0450146457282</v>
      </c>
      <c r="N29" s="81"/>
      <c r="V29" s="143">
        <f t="shared" si="3"/>
        <v>2906.1375</v>
      </c>
      <c r="W29" s="124">
        <f t="shared" si="4"/>
        <v>2906.1375</v>
      </c>
    </row>
    <row r="30" s="73" customFormat="1" customHeight="1" spans="1:23">
      <c r="A30" s="83" t="s">
        <v>92</v>
      </c>
      <c r="B30" s="86" t="s">
        <v>93</v>
      </c>
      <c r="C30" s="24" t="s">
        <v>94</v>
      </c>
      <c r="D30" s="103">
        <v>7614.37</v>
      </c>
      <c r="E30" s="88">
        <v>246240</v>
      </c>
      <c r="F30" s="89">
        <v>3</v>
      </c>
      <c r="G30" s="89">
        <v>3</v>
      </c>
      <c r="H30" s="86">
        <v>3</v>
      </c>
      <c r="I30" s="99">
        <v>196992</v>
      </c>
      <c r="J30" s="99">
        <v>49248</v>
      </c>
      <c r="K30" s="113">
        <f t="shared" si="0"/>
        <v>65664</v>
      </c>
      <c r="L30" s="117">
        <f t="shared" si="1"/>
        <v>2538.12333333333</v>
      </c>
      <c r="M30" s="132">
        <f t="shared" si="2"/>
        <v>32.3388540351992</v>
      </c>
      <c r="N30" s="81"/>
      <c r="V30" s="143">
        <f t="shared" si="3"/>
        <v>2538.12333333333</v>
      </c>
      <c r="W30" s="124">
        <f t="shared" si="4"/>
        <v>2538.12333333333</v>
      </c>
    </row>
    <row r="31" s="75" customFormat="1" customHeight="1" spans="1:23">
      <c r="A31" s="105" t="s">
        <v>78</v>
      </c>
      <c r="B31" s="92" t="s">
        <v>42</v>
      </c>
      <c r="C31" s="106" t="s">
        <v>95</v>
      </c>
      <c r="D31" s="111">
        <v>6966</v>
      </c>
      <c r="E31" s="109">
        <v>147744.962938379</v>
      </c>
      <c r="F31" s="110">
        <v>2</v>
      </c>
      <c r="G31" s="110">
        <v>2</v>
      </c>
      <c r="H31" s="92">
        <v>2</v>
      </c>
      <c r="I31" s="109">
        <v>120660.36</v>
      </c>
      <c r="J31" s="109">
        <v>27084.6029383789</v>
      </c>
      <c r="K31" s="135">
        <f t="shared" si="0"/>
        <v>60330.18</v>
      </c>
      <c r="L31" s="136">
        <f t="shared" si="1"/>
        <v>3483</v>
      </c>
      <c r="M31" s="137">
        <f t="shared" si="2"/>
        <v>21.2094405596295</v>
      </c>
      <c r="N31" s="138"/>
      <c r="V31" s="143">
        <f t="shared" si="3"/>
        <v>3483</v>
      </c>
      <c r="W31" s="124">
        <f t="shared" si="4"/>
        <v>3483</v>
      </c>
    </row>
    <row r="32" s="73" customFormat="1" customHeight="1" spans="1:23">
      <c r="A32" s="112" t="s">
        <v>38</v>
      </c>
      <c r="B32" s="113" t="s">
        <v>42</v>
      </c>
      <c r="C32" s="24" t="s">
        <v>96</v>
      </c>
      <c r="D32" s="103">
        <v>1748.4</v>
      </c>
      <c r="E32" s="96">
        <v>136895</v>
      </c>
      <c r="F32" s="97">
        <v>2</v>
      </c>
      <c r="G32" s="97">
        <v>2</v>
      </c>
      <c r="H32" s="86">
        <v>2</v>
      </c>
      <c r="I32" s="96">
        <v>136895</v>
      </c>
      <c r="J32" s="99"/>
      <c r="K32" s="113"/>
      <c r="L32" s="117"/>
      <c r="M32" s="132"/>
      <c r="N32" s="81"/>
      <c r="V32" s="143">
        <f t="shared" si="3"/>
        <v>874.2</v>
      </c>
      <c r="W32" s="124">
        <f t="shared" si="4"/>
        <v>874.2</v>
      </c>
    </row>
    <row r="36" s="73" customFormat="1" customHeight="1" spans="1:14">
      <c r="A36" s="114" t="s">
        <v>97</v>
      </c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80"/>
      <c r="N36" s="81"/>
    </row>
    <row r="37" s="73" customFormat="1" customHeight="1" spans="1:14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80"/>
      <c r="N37" s="81"/>
    </row>
    <row r="38" s="73" customFormat="1" ht="21" customHeight="1" spans="1:14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80"/>
      <c r="N38" s="81"/>
    </row>
    <row r="39" s="73" customFormat="1" hidden="1" customHeight="1" spans="1:14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80"/>
      <c r="N39" s="81"/>
    </row>
    <row r="40" s="73" customFormat="1" ht="30" hidden="1" customHeight="1" spans="1:14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80"/>
      <c r="N40" s="81"/>
    </row>
    <row r="41" s="73" customFormat="1" ht="8" customHeight="1" spans="1:14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80"/>
      <c r="N41" s="81"/>
    </row>
    <row r="42" s="73" customFormat="1" ht="11.25" hidden="1" spans="1:14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80"/>
      <c r="N42" s="81"/>
    </row>
    <row r="43" s="73" customFormat="1" ht="11.25" hidden="1" spans="1:14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80"/>
      <c r="N43" s="81"/>
    </row>
    <row r="44" s="73" customFormat="1" ht="11.25" hidden="1" spans="1:1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80"/>
      <c r="N44" s="81"/>
    </row>
    <row r="45" s="73" customFormat="1" ht="11.25" hidden="1" spans="1:14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80"/>
      <c r="N45" s="81"/>
    </row>
    <row r="46" s="73" customFormat="1" ht="11.25" hidden="1" spans="1:14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80"/>
      <c r="N46" s="81"/>
    </row>
    <row r="47" s="73" customFormat="1" ht="11.25" hidden="1" spans="1:14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80"/>
      <c r="N47" s="81"/>
    </row>
  </sheetData>
  <mergeCells count="2">
    <mergeCell ref="E1:M1"/>
    <mergeCell ref="A36:L47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7"/>
  <sheetViews>
    <sheetView workbookViewId="0">
      <selection activeCell="C3" sqref="C3"/>
    </sheetView>
  </sheetViews>
  <sheetFormatPr defaultColWidth="9" defaultRowHeight="37" customHeight="1"/>
  <cols>
    <col min="1" max="1" width="12.4513274336283" style="1" customWidth="1"/>
    <col min="2" max="2" width="9" style="1"/>
    <col min="3" max="3" width="19.9115044247788" style="1" customWidth="1"/>
    <col min="4" max="4" width="11.4513274336283" style="1" customWidth="1"/>
    <col min="5" max="5" width="12.6371681415929" style="1" customWidth="1"/>
    <col min="6" max="7" width="12.6371681415929" style="54" customWidth="1"/>
    <col min="8" max="8" width="9" style="54"/>
    <col min="9" max="9" width="13" style="40" customWidth="1"/>
    <col min="10" max="10" width="11.9115044247788" style="40"/>
    <col min="11" max="11" width="11.9115044247788" style="40" customWidth="1"/>
    <col min="12" max="12" width="11.5486725663717" style="40" customWidth="1"/>
    <col min="13" max="13" width="10.8141592920354" style="40" customWidth="1"/>
    <col min="14" max="14" width="9" style="1" customWidth="1"/>
    <col min="15" max="15" width="10.8141592920354" style="1" customWidth="1"/>
    <col min="16" max="16" width="11.9115044247788" style="1" customWidth="1"/>
    <col min="17" max="17" width="13" style="1" customWidth="1"/>
    <col min="18" max="18" width="9" style="1" customWidth="1"/>
    <col min="19" max="19" width="10.8141592920354" style="1" customWidth="1"/>
    <col min="20" max="21" width="11.9115044247788" style="1" customWidth="1"/>
    <col min="22" max="22" width="14.3628318584071" style="1" customWidth="1"/>
    <col min="23" max="23" width="15.2743362831858" style="1" customWidth="1"/>
    <col min="24" max="16384" width="9" style="1"/>
  </cols>
  <sheetData>
    <row r="1" s="1" customFormat="1" customHeight="1" spans="1:13">
      <c r="A1" s="55"/>
      <c r="B1" s="55"/>
      <c r="C1" s="55"/>
      <c r="D1" s="55"/>
      <c r="E1" s="55" t="s">
        <v>98</v>
      </c>
      <c r="F1" s="56"/>
      <c r="G1" s="56"/>
      <c r="H1" s="56"/>
      <c r="I1" s="66"/>
      <c r="J1" s="66"/>
      <c r="K1" s="66"/>
      <c r="L1" s="66"/>
      <c r="M1" s="66"/>
    </row>
    <row r="2" s="2" customFormat="1" ht="22" customHeight="1" spans="1:23">
      <c r="A2" s="6" t="s">
        <v>99</v>
      </c>
      <c r="B2" s="7" t="s">
        <v>1</v>
      </c>
      <c r="C2" s="8" t="s">
        <v>2</v>
      </c>
      <c r="D2" s="7" t="s">
        <v>3</v>
      </c>
      <c r="E2" s="7" t="s">
        <v>100</v>
      </c>
      <c r="F2" s="57" t="s">
        <v>5</v>
      </c>
      <c r="G2" s="57" t="s">
        <v>6</v>
      </c>
      <c r="H2" s="10" t="s">
        <v>7</v>
      </c>
      <c r="I2" s="35" t="s">
        <v>8</v>
      </c>
      <c r="J2" s="35" t="s">
        <v>9</v>
      </c>
      <c r="K2" s="35" t="s">
        <v>10</v>
      </c>
      <c r="L2" s="35" t="s">
        <v>11</v>
      </c>
      <c r="M2" s="35" t="s">
        <v>12</v>
      </c>
      <c r="V2" s="38" t="s">
        <v>101</v>
      </c>
      <c r="W2" s="38" t="s">
        <v>102</v>
      </c>
    </row>
    <row r="3" s="1" customFormat="1" ht="27" customHeight="1" spans="1:23">
      <c r="A3" s="11" t="s">
        <v>15</v>
      </c>
      <c r="B3" s="11" t="s">
        <v>16</v>
      </c>
      <c r="C3" s="11" t="s">
        <v>17</v>
      </c>
      <c r="D3" s="58">
        <v>81600</v>
      </c>
      <c r="E3" s="13">
        <v>1450092</v>
      </c>
      <c r="F3" s="59">
        <v>26</v>
      </c>
      <c r="G3" s="59">
        <v>24</v>
      </c>
      <c r="H3" s="60">
        <v>26</v>
      </c>
      <c r="I3" s="23">
        <v>1424400</v>
      </c>
      <c r="J3" s="23">
        <v>25692</v>
      </c>
      <c r="K3" s="23">
        <f t="shared" ref="K3:K31" si="0">I3/H3</f>
        <v>54784.6153846154</v>
      </c>
      <c r="L3" s="23">
        <f t="shared" ref="L3:L31" si="1">D3/H3</f>
        <v>3138.46153846154</v>
      </c>
      <c r="M3" s="23">
        <f t="shared" ref="M3:M31" si="2">E3/D3</f>
        <v>17.7707352941176</v>
      </c>
      <c r="V3" s="49">
        <f t="shared" ref="V3:V32" si="3">D3/F3</f>
        <v>3138.46153846154</v>
      </c>
      <c r="W3" s="50">
        <f t="shared" ref="W3:W32" si="4">D3/G3</f>
        <v>3400</v>
      </c>
    </row>
    <row r="4" s="1" customFormat="1" ht="30" customHeight="1" spans="1:23">
      <c r="A4" s="11" t="s">
        <v>18</v>
      </c>
      <c r="B4" s="11" t="s">
        <v>19</v>
      </c>
      <c r="C4" s="11" t="s">
        <v>20</v>
      </c>
      <c r="D4" s="58">
        <v>70954.83</v>
      </c>
      <c r="E4" s="16">
        <v>1133796.24602407</v>
      </c>
      <c r="F4" s="59">
        <v>24</v>
      </c>
      <c r="G4" s="59">
        <v>24</v>
      </c>
      <c r="H4" s="5">
        <v>24</v>
      </c>
      <c r="I4" s="23">
        <v>1133796.24602407</v>
      </c>
      <c r="J4" s="23"/>
      <c r="K4" s="23">
        <f t="shared" si="0"/>
        <v>47241.5102510029</v>
      </c>
      <c r="L4" s="23">
        <f t="shared" si="1"/>
        <v>2956.45125</v>
      </c>
      <c r="M4" s="23">
        <f t="shared" si="2"/>
        <v>15.9791270872479</v>
      </c>
      <c r="V4" s="49">
        <f t="shared" si="3"/>
        <v>2956.45125</v>
      </c>
      <c r="W4" s="50">
        <f t="shared" si="4"/>
        <v>2956.45125</v>
      </c>
    </row>
    <row r="5" s="1" customFormat="1" customHeight="1" spans="1:23">
      <c r="A5" s="11" t="s">
        <v>103</v>
      </c>
      <c r="B5" s="18" t="s">
        <v>24</v>
      </c>
      <c r="C5" s="11" t="s">
        <v>25</v>
      </c>
      <c r="D5" s="58">
        <v>52286</v>
      </c>
      <c r="E5" s="13">
        <v>1249327</v>
      </c>
      <c r="F5" s="59">
        <v>19</v>
      </c>
      <c r="G5" s="59">
        <v>19</v>
      </c>
      <c r="H5" s="5">
        <v>19</v>
      </c>
      <c r="I5" s="37">
        <v>1015800</v>
      </c>
      <c r="J5" s="37">
        <v>233527</v>
      </c>
      <c r="K5" s="23">
        <f t="shared" si="0"/>
        <v>53463.1578947368</v>
      </c>
      <c r="L5" s="23">
        <f t="shared" si="1"/>
        <v>2751.89473684211</v>
      </c>
      <c r="M5" s="23">
        <f t="shared" si="2"/>
        <v>23.8941016715756</v>
      </c>
      <c r="N5" s="1" t="s">
        <v>21</v>
      </c>
      <c r="P5" s="38" t="s">
        <v>101</v>
      </c>
      <c r="Q5" s="38" t="s">
        <v>102</v>
      </c>
      <c r="R5" s="70"/>
      <c r="S5" s="1" t="s">
        <v>22</v>
      </c>
      <c r="T5" s="38" t="s">
        <v>101</v>
      </c>
      <c r="U5" s="38" t="s">
        <v>102</v>
      </c>
      <c r="V5" s="49">
        <f t="shared" si="3"/>
        <v>2751.89473684211</v>
      </c>
      <c r="W5" s="50">
        <f t="shared" si="4"/>
        <v>2751.89473684211</v>
      </c>
    </row>
    <row r="6" s="1" customFormat="1" customHeight="1" spans="1:23">
      <c r="A6" s="11" t="s">
        <v>27</v>
      </c>
      <c r="B6" s="11" t="s">
        <v>28</v>
      </c>
      <c r="C6" s="11" t="s">
        <v>29</v>
      </c>
      <c r="D6" s="58">
        <v>51859.87</v>
      </c>
      <c r="E6" s="16">
        <v>3440479.56</v>
      </c>
      <c r="F6" s="61">
        <v>27</v>
      </c>
      <c r="G6" s="59">
        <v>27</v>
      </c>
      <c r="H6" s="5">
        <v>52</v>
      </c>
      <c r="I6" s="37">
        <v>3320479.56</v>
      </c>
      <c r="J6" s="37">
        <v>120000</v>
      </c>
      <c r="K6" s="23"/>
      <c r="L6" s="23"/>
      <c r="M6" s="23"/>
      <c r="N6" s="39" t="s">
        <v>26</v>
      </c>
      <c r="O6" s="40">
        <f>AVERAGE(L3:L14)</f>
        <v>2598.36708424858</v>
      </c>
      <c r="P6" s="45">
        <f>AVERAGE(V3:V14)</f>
        <v>2598.36708424858</v>
      </c>
      <c r="Q6" s="45">
        <f>AVERAGE(W3:W14)</f>
        <v>2687.36533385766</v>
      </c>
      <c r="S6" s="40">
        <f>AVERAGE(L3:L15)</f>
        <v>2486.58732722786</v>
      </c>
      <c r="T6" s="45">
        <f>AVERAGE(V3:V15)</f>
        <v>2486.58732722786</v>
      </c>
      <c r="U6" s="45">
        <f>AVERAGE(W3:W15)</f>
        <v>2568.16905603619</v>
      </c>
      <c r="V6" s="49"/>
      <c r="W6" s="50"/>
    </row>
    <row r="7" s="1" customFormat="1" customHeight="1" spans="1:23">
      <c r="A7" s="11" t="s">
        <v>31</v>
      </c>
      <c r="B7" s="11" t="s">
        <v>32</v>
      </c>
      <c r="C7" s="11" t="s">
        <v>33</v>
      </c>
      <c r="D7" s="58">
        <v>45904.61</v>
      </c>
      <c r="E7" s="21">
        <v>2078586.7</v>
      </c>
      <c r="F7" s="59">
        <v>23</v>
      </c>
      <c r="G7" s="59">
        <v>21</v>
      </c>
      <c r="H7" s="5">
        <v>23</v>
      </c>
      <c r="I7" s="27">
        <v>2015617.7</v>
      </c>
      <c r="J7" s="27">
        <v>62969</v>
      </c>
      <c r="K7" s="23">
        <f t="shared" si="0"/>
        <v>87635.552173913</v>
      </c>
      <c r="L7" s="23">
        <f t="shared" si="1"/>
        <v>1995.85260869565</v>
      </c>
      <c r="M7" s="23">
        <f t="shared" si="2"/>
        <v>45.2805655031161</v>
      </c>
      <c r="N7" s="39" t="s">
        <v>30</v>
      </c>
      <c r="O7" s="1">
        <v>6.11</v>
      </c>
      <c r="S7" s="71">
        <v>6.1</v>
      </c>
      <c r="V7" s="49">
        <f t="shared" si="3"/>
        <v>1995.85260869565</v>
      </c>
      <c r="W7" s="50">
        <f t="shared" si="4"/>
        <v>2185.93380952381</v>
      </c>
    </row>
    <row r="8" s="1" customFormat="1" customHeight="1" spans="1:23">
      <c r="A8" s="11" t="s">
        <v>35</v>
      </c>
      <c r="B8" s="11" t="s">
        <v>36</v>
      </c>
      <c r="C8" s="11" t="s">
        <v>37</v>
      </c>
      <c r="D8" s="58">
        <v>44485.68</v>
      </c>
      <c r="E8" s="21">
        <v>1200000</v>
      </c>
      <c r="F8" s="59">
        <v>20</v>
      </c>
      <c r="G8" s="59">
        <v>20</v>
      </c>
      <c r="H8" s="5">
        <v>20</v>
      </c>
      <c r="I8" s="27">
        <v>1200000</v>
      </c>
      <c r="J8" s="23"/>
      <c r="K8" s="23">
        <f t="shared" si="0"/>
        <v>60000</v>
      </c>
      <c r="L8" s="23">
        <f t="shared" si="1"/>
        <v>2224.284</v>
      </c>
      <c r="M8" s="23">
        <f t="shared" si="2"/>
        <v>26.9749726204028</v>
      </c>
      <c r="N8" s="39" t="s">
        <v>34</v>
      </c>
      <c r="O8" s="1">
        <v>27.43</v>
      </c>
      <c r="S8" s="51">
        <v>29.17</v>
      </c>
      <c r="V8" s="49">
        <f t="shared" si="3"/>
        <v>2224.284</v>
      </c>
      <c r="W8" s="50">
        <f t="shared" si="4"/>
        <v>2224.284</v>
      </c>
    </row>
    <row r="9" s="1" customFormat="1" customHeight="1" spans="1:23">
      <c r="A9" s="22" t="s">
        <v>38</v>
      </c>
      <c r="B9" s="22" t="s">
        <v>39</v>
      </c>
      <c r="C9" s="11" t="s">
        <v>40</v>
      </c>
      <c r="D9" s="58">
        <v>43229.29</v>
      </c>
      <c r="E9" s="16">
        <v>833249.8</v>
      </c>
      <c r="F9" s="59">
        <v>12</v>
      </c>
      <c r="G9" s="59">
        <v>12</v>
      </c>
      <c r="H9" s="5">
        <v>12</v>
      </c>
      <c r="I9" s="23">
        <f>1388749.8/20*12</f>
        <v>833249.88</v>
      </c>
      <c r="J9" s="23"/>
      <c r="K9" s="23">
        <f t="shared" si="0"/>
        <v>69437.49</v>
      </c>
      <c r="L9" s="23">
        <f t="shared" si="1"/>
        <v>3602.44083333333</v>
      </c>
      <c r="M9" s="23">
        <f t="shared" si="2"/>
        <v>19.2751211042328</v>
      </c>
      <c r="V9" s="49">
        <f t="shared" si="3"/>
        <v>3602.44083333333</v>
      </c>
      <c r="W9" s="50">
        <f t="shared" si="4"/>
        <v>3602.44083333333</v>
      </c>
    </row>
    <row r="10" s="1" customFormat="1" customHeight="1" spans="1:23">
      <c r="A10" s="11" t="s">
        <v>41</v>
      </c>
      <c r="B10" s="11" t="s">
        <v>42</v>
      </c>
      <c r="C10" s="11" t="s">
        <v>43</v>
      </c>
      <c r="D10" s="58">
        <v>40480.99</v>
      </c>
      <c r="E10" s="23">
        <v>2204926.88</v>
      </c>
      <c r="F10" s="59">
        <v>24</v>
      </c>
      <c r="G10" s="59">
        <v>22</v>
      </c>
      <c r="H10" s="5">
        <v>24</v>
      </c>
      <c r="I10" s="16">
        <v>2009198.18</v>
      </c>
      <c r="J10" s="16">
        <v>195728.7</v>
      </c>
      <c r="K10" s="23">
        <f t="shared" si="0"/>
        <v>83716.5908333333</v>
      </c>
      <c r="L10" s="23">
        <f t="shared" si="1"/>
        <v>1686.70791666667</v>
      </c>
      <c r="M10" s="23">
        <f t="shared" si="2"/>
        <v>54.4682054465565</v>
      </c>
      <c r="V10" s="49">
        <f t="shared" si="3"/>
        <v>1686.70791666667</v>
      </c>
      <c r="W10" s="50">
        <f t="shared" si="4"/>
        <v>1840.045</v>
      </c>
    </row>
    <row r="11" s="1" customFormat="1" customHeight="1" spans="1:23">
      <c r="A11" s="11" t="s">
        <v>44</v>
      </c>
      <c r="B11" s="11"/>
      <c r="C11" s="24" t="s">
        <v>45</v>
      </c>
      <c r="D11" s="58">
        <v>40127.7</v>
      </c>
      <c r="E11" s="16">
        <v>725523.33</v>
      </c>
      <c r="F11" s="59">
        <v>13</v>
      </c>
      <c r="G11" s="59">
        <v>13</v>
      </c>
      <c r="H11" s="5">
        <v>13</v>
      </c>
      <c r="I11" s="27">
        <v>684091.2</v>
      </c>
      <c r="J11" s="27">
        <v>41432.13</v>
      </c>
      <c r="K11" s="23">
        <f t="shared" si="0"/>
        <v>52622.4</v>
      </c>
      <c r="L11" s="23">
        <f t="shared" si="1"/>
        <v>3086.74615384615</v>
      </c>
      <c r="M11" s="23">
        <f t="shared" si="2"/>
        <v>18.0803616952878</v>
      </c>
      <c r="V11" s="49">
        <f t="shared" si="3"/>
        <v>3086.74615384615</v>
      </c>
      <c r="W11" s="50">
        <f t="shared" si="4"/>
        <v>3086.74615384615</v>
      </c>
    </row>
    <row r="12" s="1" customFormat="1" customHeight="1" spans="1:23">
      <c r="A12" s="11" t="s">
        <v>46</v>
      </c>
      <c r="B12" s="11" t="s">
        <v>47</v>
      </c>
      <c r="C12" s="11" t="s">
        <v>48</v>
      </c>
      <c r="D12" s="58">
        <v>39325.6</v>
      </c>
      <c r="E12" s="25">
        <v>748269.9</v>
      </c>
      <c r="F12" s="59">
        <v>18</v>
      </c>
      <c r="G12" s="59">
        <v>18</v>
      </c>
      <c r="H12" s="5">
        <v>18</v>
      </c>
      <c r="I12" s="27">
        <v>748269.9</v>
      </c>
      <c r="J12" s="23"/>
      <c r="K12" s="23">
        <f t="shared" si="0"/>
        <v>41570.55</v>
      </c>
      <c r="L12" s="23">
        <f t="shared" si="1"/>
        <v>2184.75555555556</v>
      </c>
      <c r="M12" s="23">
        <f t="shared" si="2"/>
        <v>19.0275520271782</v>
      </c>
      <c r="V12" s="49">
        <f t="shared" si="3"/>
        <v>2184.75555555556</v>
      </c>
      <c r="W12" s="50">
        <f t="shared" si="4"/>
        <v>2184.75555555556</v>
      </c>
    </row>
    <row r="13" s="1" customFormat="1" customHeight="1" spans="1:23">
      <c r="A13" s="11" t="s">
        <v>49</v>
      </c>
      <c r="B13" s="11" t="s">
        <v>42</v>
      </c>
      <c r="C13" s="11" t="s">
        <v>50</v>
      </c>
      <c r="D13" s="58">
        <v>37849.31</v>
      </c>
      <c r="E13" s="23">
        <v>849078.157894737</v>
      </c>
      <c r="F13" s="59">
        <v>15</v>
      </c>
      <c r="G13" s="59">
        <v>15</v>
      </c>
      <c r="H13" s="5">
        <v>15</v>
      </c>
      <c r="I13" s="27">
        <v>819000</v>
      </c>
      <c r="J13" s="27">
        <v>30100</v>
      </c>
      <c r="K13" s="23">
        <f t="shared" si="0"/>
        <v>54600</v>
      </c>
      <c r="L13" s="23">
        <f t="shared" si="1"/>
        <v>2523.28733333333</v>
      </c>
      <c r="M13" s="23">
        <f t="shared" si="2"/>
        <v>22.433121182255</v>
      </c>
      <c r="V13" s="49">
        <f t="shared" si="3"/>
        <v>2523.28733333333</v>
      </c>
      <c r="W13" s="50">
        <f t="shared" si="4"/>
        <v>2523.28733333333</v>
      </c>
    </row>
    <row r="14" s="1" customFormat="1" customHeight="1" spans="1:23">
      <c r="A14" s="11" t="s">
        <v>51</v>
      </c>
      <c r="B14" s="11" t="s">
        <v>52</v>
      </c>
      <c r="C14" s="11" t="s">
        <v>53</v>
      </c>
      <c r="D14" s="58">
        <v>36467.34</v>
      </c>
      <c r="E14" s="13">
        <v>1406512.37</v>
      </c>
      <c r="F14" s="59">
        <v>15</v>
      </c>
      <c r="G14" s="59">
        <v>13</v>
      </c>
      <c r="H14" s="5">
        <v>15</v>
      </c>
      <c r="I14" s="27">
        <v>1013601</v>
      </c>
      <c r="J14" s="27">
        <v>392911.37</v>
      </c>
      <c r="K14" s="23">
        <f t="shared" si="0"/>
        <v>67573.4</v>
      </c>
      <c r="L14" s="23">
        <f t="shared" si="1"/>
        <v>2431.156</v>
      </c>
      <c r="M14" s="23">
        <f t="shared" si="2"/>
        <v>38.5690968960171</v>
      </c>
      <c r="V14" s="49">
        <f t="shared" si="3"/>
        <v>2431.156</v>
      </c>
      <c r="W14" s="50">
        <f t="shared" si="4"/>
        <v>2805.18</v>
      </c>
    </row>
    <row r="15" s="1" customFormat="1" customHeight="1" spans="1:23">
      <c r="A15" s="11" t="s">
        <v>54</v>
      </c>
      <c r="B15" s="11" t="s">
        <v>55</v>
      </c>
      <c r="C15" s="11" t="s">
        <v>56</v>
      </c>
      <c r="D15" s="62">
        <v>35196.28</v>
      </c>
      <c r="E15" s="16">
        <f>I15+J15</f>
        <v>1700613.90625</v>
      </c>
      <c r="F15" s="59">
        <v>28</v>
      </c>
      <c r="G15" s="59">
        <v>28</v>
      </c>
      <c r="H15" s="5">
        <v>28</v>
      </c>
      <c r="I15" s="48">
        <f>1915684.35/32*H15</f>
        <v>1676223.80625</v>
      </c>
      <c r="J15" s="48">
        <v>24390.1</v>
      </c>
      <c r="K15" s="23">
        <f t="shared" si="0"/>
        <v>59865.1359375</v>
      </c>
      <c r="L15" s="23">
        <f t="shared" si="1"/>
        <v>1257.01</v>
      </c>
      <c r="M15" s="23">
        <f t="shared" si="2"/>
        <v>48.3180013981591</v>
      </c>
      <c r="N15" s="39" t="s">
        <v>26</v>
      </c>
      <c r="O15" s="40">
        <f>AVERAGE(L15:L31)</f>
        <v>2222.9298222316</v>
      </c>
      <c r="P15" s="40">
        <f>AVERAGE(V15:V31)</f>
        <v>2246.71942090667</v>
      </c>
      <c r="Q15" s="40">
        <f>AVERAGE(W15:W31)</f>
        <v>2270.96429454994</v>
      </c>
      <c r="S15" s="40">
        <f>AVERAGE(L16:L31)</f>
        <v>2283.29981112108</v>
      </c>
      <c r="T15" s="45">
        <f>AVERAGE(V16:V31)</f>
        <v>2308.57625971334</v>
      </c>
      <c r="U15" s="45">
        <f>AVERAGE(W16:W31)</f>
        <v>2334.33643795931</v>
      </c>
      <c r="V15" s="52">
        <f t="shared" si="3"/>
        <v>1257.01</v>
      </c>
      <c r="W15" s="45">
        <f t="shared" si="4"/>
        <v>1257.01</v>
      </c>
    </row>
    <row r="16" s="1" customFormat="1" customHeight="1" spans="1:23">
      <c r="A16" s="11" t="s">
        <v>57</v>
      </c>
      <c r="B16" s="11" t="s">
        <v>58</v>
      </c>
      <c r="C16" s="11" t="s">
        <v>59</v>
      </c>
      <c r="D16" s="62">
        <v>34541</v>
      </c>
      <c r="E16" s="27">
        <v>1069997</v>
      </c>
      <c r="F16" s="59">
        <v>18</v>
      </c>
      <c r="G16" s="59">
        <v>17</v>
      </c>
      <c r="H16" s="5">
        <v>18</v>
      </c>
      <c r="I16" s="46">
        <v>1069997</v>
      </c>
      <c r="J16" s="23"/>
      <c r="K16" s="23">
        <f t="shared" si="0"/>
        <v>59444.2777777778</v>
      </c>
      <c r="L16" s="23">
        <f t="shared" si="1"/>
        <v>1918.94444444444</v>
      </c>
      <c r="M16" s="23">
        <f t="shared" si="2"/>
        <v>30.9775918473698</v>
      </c>
      <c r="N16" s="39" t="s">
        <v>30</v>
      </c>
      <c r="O16" s="1">
        <v>6.09</v>
      </c>
      <c r="S16" s="1">
        <v>6.1</v>
      </c>
      <c r="V16" s="52">
        <f t="shared" si="3"/>
        <v>1918.94444444444</v>
      </c>
      <c r="W16" s="45">
        <f t="shared" si="4"/>
        <v>2031.82352941176</v>
      </c>
    </row>
    <row r="17" s="1" customFormat="1" customHeight="1" spans="1:23">
      <c r="A17" s="28" t="s">
        <v>60</v>
      </c>
      <c r="B17" s="29" t="s">
        <v>104</v>
      </c>
      <c r="C17" s="28" t="s">
        <v>105</v>
      </c>
      <c r="D17" s="30">
        <v>32778.8</v>
      </c>
      <c r="E17" s="63">
        <v>906000</v>
      </c>
      <c r="F17" s="64">
        <v>16</v>
      </c>
      <c r="G17" s="64">
        <v>16</v>
      </c>
      <c r="H17" s="65">
        <v>16</v>
      </c>
      <c r="I17" s="67">
        <v>870309</v>
      </c>
      <c r="J17" s="68">
        <v>35691</v>
      </c>
      <c r="K17" s="69">
        <f t="shared" si="0"/>
        <v>54394.3125</v>
      </c>
      <c r="L17" s="69">
        <f t="shared" si="1"/>
        <v>2048.675</v>
      </c>
      <c r="M17" s="69">
        <f t="shared" si="2"/>
        <v>27.6398159786203</v>
      </c>
      <c r="N17" s="39" t="s">
        <v>34</v>
      </c>
      <c r="O17" s="1">
        <v>29.72</v>
      </c>
      <c r="S17" s="1">
        <v>28.56</v>
      </c>
      <c r="V17" s="52">
        <f t="shared" si="3"/>
        <v>2048.675</v>
      </c>
      <c r="W17" s="45">
        <f t="shared" si="4"/>
        <v>2048.675</v>
      </c>
    </row>
    <row r="18" s="1" customFormat="1" customHeight="1" spans="1:23">
      <c r="A18" s="11" t="s">
        <v>60</v>
      </c>
      <c r="B18" s="11" t="s">
        <v>61</v>
      </c>
      <c r="C18" s="11" t="s">
        <v>62</v>
      </c>
      <c r="D18" s="62">
        <v>31503.17</v>
      </c>
      <c r="E18" s="23">
        <v>1188000</v>
      </c>
      <c r="F18" s="59">
        <v>19</v>
      </c>
      <c r="G18" s="59">
        <v>19</v>
      </c>
      <c r="H18" s="5">
        <v>19</v>
      </c>
      <c r="I18" s="27">
        <v>1141199.24</v>
      </c>
      <c r="J18" s="27">
        <v>46800.76</v>
      </c>
      <c r="K18" s="23">
        <f t="shared" si="0"/>
        <v>60063.1178947368</v>
      </c>
      <c r="L18" s="23">
        <f t="shared" si="1"/>
        <v>1658.06157894737</v>
      </c>
      <c r="M18" s="23">
        <f t="shared" si="2"/>
        <v>37.7104907220448</v>
      </c>
      <c r="N18" s="39"/>
      <c r="S18" s="53"/>
      <c r="V18" s="52">
        <f t="shared" si="3"/>
        <v>1658.06157894737</v>
      </c>
      <c r="W18" s="45">
        <f t="shared" si="4"/>
        <v>1658.06157894737</v>
      </c>
    </row>
    <row r="19" s="1" customFormat="1" customHeight="1" spans="1:23">
      <c r="A19" s="11" t="s">
        <v>63</v>
      </c>
      <c r="B19" s="11" t="s">
        <v>64</v>
      </c>
      <c r="C19" s="11" t="s">
        <v>65</v>
      </c>
      <c r="D19" s="62">
        <v>30360</v>
      </c>
      <c r="E19" s="13">
        <v>948792.09170934</v>
      </c>
      <c r="F19" s="61">
        <v>13</v>
      </c>
      <c r="G19" s="59">
        <v>12</v>
      </c>
      <c r="H19" s="5">
        <v>15</v>
      </c>
      <c r="I19" s="27">
        <v>915032.36054736</v>
      </c>
      <c r="J19" s="27">
        <v>33759.73116198</v>
      </c>
      <c r="K19" s="23">
        <f t="shared" si="0"/>
        <v>61002.157369824</v>
      </c>
      <c r="L19" s="23">
        <f t="shared" si="1"/>
        <v>2024</v>
      </c>
      <c r="M19" s="23">
        <f t="shared" si="2"/>
        <v>31.2513864199387</v>
      </c>
      <c r="V19" s="52">
        <f t="shared" si="3"/>
        <v>2335.38461538462</v>
      </c>
      <c r="W19" s="45">
        <f t="shared" si="4"/>
        <v>2530</v>
      </c>
    </row>
    <row r="20" s="1" customFormat="1" customHeight="1" spans="1:23">
      <c r="A20" s="11" t="s">
        <v>66</v>
      </c>
      <c r="B20" s="11" t="s">
        <v>67</v>
      </c>
      <c r="C20" s="11" t="s">
        <v>68</v>
      </c>
      <c r="D20" s="62">
        <v>28469.8</v>
      </c>
      <c r="E20" s="27">
        <v>1179431.17203764</v>
      </c>
      <c r="F20" s="61">
        <v>17</v>
      </c>
      <c r="G20" s="59">
        <v>16</v>
      </c>
      <c r="H20" s="5">
        <v>18</v>
      </c>
      <c r="I20" s="23">
        <v>1136838.48499546</v>
      </c>
      <c r="J20" s="23">
        <v>42592.6870421839</v>
      </c>
      <c r="K20" s="23">
        <f t="shared" si="0"/>
        <v>63157.6936108589</v>
      </c>
      <c r="L20" s="23">
        <f t="shared" si="1"/>
        <v>1581.65555555556</v>
      </c>
      <c r="M20" s="23">
        <f t="shared" si="2"/>
        <v>41.4274484554735</v>
      </c>
      <c r="V20" s="52">
        <f t="shared" si="3"/>
        <v>1674.69411764706</v>
      </c>
      <c r="W20" s="45">
        <f t="shared" si="4"/>
        <v>1779.3625</v>
      </c>
    </row>
    <row r="21" s="1" customFormat="1" customHeight="1" spans="1:23">
      <c r="A21" s="11" t="s">
        <v>69</v>
      </c>
      <c r="B21" s="11" t="s">
        <v>70</v>
      </c>
      <c r="C21" s="11" t="s">
        <v>71</v>
      </c>
      <c r="D21" s="62">
        <v>25450</v>
      </c>
      <c r="E21" s="23">
        <v>528029.464305977</v>
      </c>
      <c r="F21" s="59">
        <v>11</v>
      </c>
      <c r="G21" s="59">
        <v>11</v>
      </c>
      <c r="H21" s="5">
        <v>11</v>
      </c>
      <c r="I21" s="27">
        <v>516555.31842012</v>
      </c>
      <c r="J21" s="27">
        <v>11474.1458858565</v>
      </c>
      <c r="K21" s="23">
        <f t="shared" si="0"/>
        <v>46959.5744018291</v>
      </c>
      <c r="L21" s="23">
        <f t="shared" si="1"/>
        <v>2313.63636363636</v>
      </c>
      <c r="M21" s="23">
        <f t="shared" si="2"/>
        <v>20.7477196190954</v>
      </c>
      <c r="V21" s="52">
        <f t="shared" si="3"/>
        <v>2313.63636363636</v>
      </c>
      <c r="W21" s="45">
        <f t="shared" si="4"/>
        <v>2313.63636363636</v>
      </c>
    </row>
    <row r="22" s="1" customFormat="1" customHeight="1" spans="1:23">
      <c r="A22" s="11" t="s">
        <v>72</v>
      </c>
      <c r="B22" s="11" t="s">
        <v>73</v>
      </c>
      <c r="C22" s="11" t="s">
        <v>74</v>
      </c>
      <c r="D22" s="62">
        <v>24839.87</v>
      </c>
      <c r="E22" s="21">
        <v>749756</v>
      </c>
      <c r="F22" s="59">
        <v>10</v>
      </c>
      <c r="G22" s="59">
        <v>10</v>
      </c>
      <c r="H22" s="5">
        <v>10</v>
      </c>
      <c r="I22" s="27">
        <v>653064</v>
      </c>
      <c r="J22" s="27">
        <v>96692</v>
      </c>
      <c r="K22" s="23">
        <f t="shared" si="0"/>
        <v>65306.4</v>
      </c>
      <c r="L22" s="23">
        <f t="shared" si="1"/>
        <v>2483.987</v>
      </c>
      <c r="M22" s="23">
        <f t="shared" si="2"/>
        <v>30.1835718141842</v>
      </c>
      <c r="V22" s="52">
        <f t="shared" si="3"/>
        <v>2483.987</v>
      </c>
      <c r="W22" s="45">
        <f t="shared" si="4"/>
        <v>2483.987</v>
      </c>
    </row>
    <row r="23" s="1" customFormat="1" customHeight="1" spans="1:23">
      <c r="A23" s="11" t="s">
        <v>75</v>
      </c>
      <c r="B23" s="11" t="s">
        <v>76</v>
      </c>
      <c r="C23" s="11" t="s">
        <v>77</v>
      </c>
      <c r="D23" s="62">
        <v>24115.18</v>
      </c>
      <c r="E23" s="13">
        <v>657360</v>
      </c>
      <c r="F23" s="59">
        <v>11</v>
      </c>
      <c r="G23" s="59">
        <v>11</v>
      </c>
      <c r="H23" s="5">
        <v>11</v>
      </c>
      <c r="I23" s="27">
        <v>657360</v>
      </c>
      <c r="J23" s="23"/>
      <c r="K23" s="23">
        <f t="shared" si="0"/>
        <v>59760</v>
      </c>
      <c r="L23" s="23">
        <f t="shared" si="1"/>
        <v>2192.28909090909</v>
      </c>
      <c r="M23" s="23">
        <f t="shared" si="2"/>
        <v>27.2591786584218</v>
      </c>
      <c r="V23" s="52">
        <f t="shared" si="3"/>
        <v>2192.28909090909</v>
      </c>
      <c r="W23" s="45">
        <f t="shared" si="4"/>
        <v>2192.28909090909</v>
      </c>
    </row>
    <row r="24" s="1" customFormat="1" customHeight="1" spans="1:23">
      <c r="A24" s="11" t="s">
        <v>78</v>
      </c>
      <c r="B24" s="11" t="s">
        <v>79</v>
      </c>
      <c r="C24" s="11" t="s">
        <v>80</v>
      </c>
      <c r="D24" s="62">
        <v>23154.69</v>
      </c>
      <c r="E24" s="23">
        <v>664012.79</v>
      </c>
      <c r="F24" s="59">
        <v>9</v>
      </c>
      <c r="G24" s="59">
        <v>9</v>
      </c>
      <c r="H24" s="5">
        <v>9</v>
      </c>
      <c r="I24" s="27">
        <v>564394.087232</v>
      </c>
      <c r="J24" s="48">
        <v>263850.434034176</v>
      </c>
      <c r="K24" s="23">
        <f t="shared" si="0"/>
        <v>62710.4541368889</v>
      </c>
      <c r="L24" s="23">
        <f t="shared" si="1"/>
        <v>2572.74333333333</v>
      </c>
      <c r="M24" s="23">
        <f t="shared" si="2"/>
        <v>28.6772481082666</v>
      </c>
      <c r="V24" s="52">
        <f t="shared" si="3"/>
        <v>2572.74333333333</v>
      </c>
      <c r="W24" s="45">
        <f t="shared" si="4"/>
        <v>2572.74333333333</v>
      </c>
    </row>
    <row r="25" s="1" customFormat="1" customHeight="1" spans="1:23">
      <c r="A25" s="11" t="s">
        <v>81</v>
      </c>
      <c r="B25" s="11" t="s">
        <v>82</v>
      </c>
      <c r="C25" s="11" t="s">
        <v>83</v>
      </c>
      <c r="D25" s="62">
        <v>23000.42</v>
      </c>
      <c r="E25" s="21">
        <v>479888.01</v>
      </c>
      <c r="F25" s="59">
        <v>8</v>
      </c>
      <c r="G25" s="59">
        <v>8</v>
      </c>
      <c r="H25" s="5">
        <v>8</v>
      </c>
      <c r="I25" s="27">
        <v>669391</v>
      </c>
      <c r="J25" s="27">
        <v>58497.01</v>
      </c>
      <c r="K25" s="23">
        <f t="shared" si="0"/>
        <v>83673.875</v>
      </c>
      <c r="L25" s="23">
        <f t="shared" si="1"/>
        <v>2875.0525</v>
      </c>
      <c r="M25" s="23">
        <f t="shared" si="2"/>
        <v>20.8643150864202</v>
      </c>
      <c r="V25" s="52">
        <f t="shared" si="3"/>
        <v>2875.0525</v>
      </c>
      <c r="W25" s="45">
        <f t="shared" si="4"/>
        <v>2875.0525</v>
      </c>
    </row>
    <row r="26" s="1" customFormat="1" customHeight="1" spans="1:23">
      <c r="A26" s="11" t="s">
        <v>75</v>
      </c>
      <c r="B26" s="11" t="s">
        <v>82</v>
      </c>
      <c r="C26" s="11" t="s">
        <v>84</v>
      </c>
      <c r="D26" s="62">
        <v>22068.71</v>
      </c>
      <c r="E26" s="13">
        <v>593640</v>
      </c>
      <c r="F26" s="59">
        <v>10</v>
      </c>
      <c r="G26" s="59">
        <v>10</v>
      </c>
      <c r="H26" s="5">
        <v>10</v>
      </c>
      <c r="I26" s="23">
        <v>593640</v>
      </c>
      <c r="J26" s="23"/>
      <c r="K26" s="23">
        <f t="shared" si="0"/>
        <v>59364</v>
      </c>
      <c r="L26" s="23">
        <f t="shared" si="1"/>
        <v>2206.871</v>
      </c>
      <c r="M26" s="23">
        <f t="shared" si="2"/>
        <v>26.8996239472085</v>
      </c>
      <c r="V26" s="52">
        <f t="shared" si="3"/>
        <v>2206.871</v>
      </c>
      <c r="W26" s="45">
        <f t="shared" si="4"/>
        <v>2206.871</v>
      </c>
    </row>
    <row r="27" s="1" customFormat="1" customHeight="1" spans="1:23">
      <c r="A27" s="11" t="s">
        <v>69</v>
      </c>
      <c r="B27" s="11" t="s">
        <v>87</v>
      </c>
      <c r="C27" s="11" t="s">
        <v>88</v>
      </c>
      <c r="D27" s="62">
        <v>16706.14</v>
      </c>
      <c r="E27" s="23">
        <v>396129.953464483</v>
      </c>
      <c r="F27" s="59">
        <v>9</v>
      </c>
      <c r="G27" s="59">
        <v>9</v>
      </c>
      <c r="H27" s="5">
        <v>9</v>
      </c>
      <c r="I27" s="27">
        <v>384655.807578627</v>
      </c>
      <c r="J27" s="27">
        <v>11474.1458858565</v>
      </c>
      <c r="K27" s="23">
        <f t="shared" si="0"/>
        <v>42739.534175403</v>
      </c>
      <c r="L27" s="23">
        <f t="shared" si="1"/>
        <v>1856.23777777778</v>
      </c>
      <c r="M27" s="23">
        <f t="shared" si="2"/>
        <v>23.7116385630961</v>
      </c>
      <c r="V27" s="52">
        <f t="shared" si="3"/>
        <v>1856.23777777778</v>
      </c>
      <c r="W27" s="45">
        <f t="shared" si="4"/>
        <v>1856.23777777778</v>
      </c>
    </row>
    <row r="28" s="1" customFormat="1" customHeight="1" spans="1:23">
      <c r="A28" s="22" t="s">
        <v>38</v>
      </c>
      <c r="B28" s="22" t="s">
        <v>58</v>
      </c>
      <c r="C28" s="11" t="s">
        <v>89</v>
      </c>
      <c r="D28" s="62">
        <v>14987.06</v>
      </c>
      <c r="E28" s="16">
        <v>555500</v>
      </c>
      <c r="F28" s="59">
        <v>8</v>
      </c>
      <c r="G28" s="59">
        <v>8</v>
      </c>
      <c r="H28" s="5">
        <v>8</v>
      </c>
      <c r="I28" s="23">
        <f>1388749.8/20*8</f>
        <v>555499.92</v>
      </c>
      <c r="J28" s="23"/>
      <c r="K28" s="23">
        <f t="shared" si="0"/>
        <v>69437.49</v>
      </c>
      <c r="L28" s="23">
        <f t="shared" si="1"/>
        <v>1873.3825</v>
      </c>
      <c r="M28" s="23">
        <f t="shared" si="2"/>
        <v>37.0653083393274</v>
      </c>
      <c r="V28" s="52">
        <f t="shared" si="3"/>
        <v>1873.3825</v>
      </c>
      <c r="W28" s="45">
        <f t="shared" si="4"/>
        <v>1873.3825</v>
      </c>
    </row>
    <row r="29" s="1" customFormat="1" customHeight="1" spans="1:23">
      <c r="A29" s="11" t="s">
        <v>49</v>
      </c>
      <c r="B29" s="11" t="s">
        <v>90</v>
      </c>
      <c r="C29" s="11" t="s">
        <v>91</v>
      </c>
      <c r="D29" s="62">
        <v>11624.55</v>
      </c>
      <c r="E29" s="23">
        <v>226420.842105263</v>
      </c>
      <c r="F29" s="59">
        <v>4</v>
      </c>
      <c r="G29" s="59">
        <v>4</v>
      </c>
      <c r="H29" s="5">
        <v>4</v>
      </c>
      <c r="I29" s="27">
        <v>218400</v>
      </c>
      <c r="J29" s="27">
        <v>8020.84</v>
      </c>
      <c r="K29" s="23">
        <f t="shared" si="0"/>
        <v>54600</v>
      </c>
      <c r="L29" s="23">
        <f t="shared" si="1"/>
        <v>2906.1375</v>
      </c>
      <c r="M29" s="23">
        <f t="shared" si="2"/>
        <v>19.4778156664355</v>
      </c>
      <c r="V29" s="52">
        <f t="shared" si="3"/>
        <v>2906.1375</v>
      </c>
      <c r="W29" s="45">
        <f t="shared" si="4"/>
        <v>2906.1375</v>
      </c>
    </row>
    <row r="30" s="1" customFormat="1" customHeight="1" spans="1:23">
      <c r="A30" s="11" t="s">
        <v>92</v>
      </c>
      <c r="B30" s="11" t="s">
        <v>93</v>
      </c>
      <c r="C30" s="11" t="s">
        <v>94</v>
      </c>
      <c r="D30" s="62">
        <v>7614.37</v>
      </c>
      <c r="E30" s="16">
        <v>242640</v>
      </c>
      <c r="F30" s="59">
        <v>3</v>
      </c>
      <c r="G30" s="59">
        <v>3</v>
      </c>
      <c r="H30" s="5">
        <v>3</v>
      </c>
      <c r="I30" s="37">
        <f>242640*0.8</f>
        <v>194112</v>
      </c>
      <c r="J30" s="37">
        <v>48528</v>
      </c>
      <c r="K30" s="23">
        <f t="shared" si="0"/>
        <v>64704</v>
      </c>
      <c r="L30" s="23">
        <f t="shared" si="1"/>
        <v>2538.12333333333</v>
      </c>
      <c r="M30" s="23">
        <f t="shared" si="2"/>
        <v>31.8660637715267</v>
      </c>
      <c r="V30" s="52">
        <f t="shared" si="3"/>
        <v>2538.12333333333</v>
      </c>
      <c r="W30" s="45">
        <f t="shared" si="4"/>
        <v>2538.12333333333</v>
      </c>
    </row>
    <row r="31" s="1" customFormat="1" customHeight="1" spans="1:23">
      <c r="A31" s="11" t="s">
        <v>78</v>
      </c>
      <c r="B31" s="11" t="s">
        <v>42</v>
      </c>
      <c r="C31" s="11" t="s">
        <v>95</v>
      </c>
      <c r="D31" s="62">
        <v>6966</v>
      </c>
      <c r="E31" s="23">
        <v>147558.4</v>
      </c>
      <c r="F31" s="59">
        <v>2</v>
      </c>
      <c r="G31" s="59">
        <v>2</v>
      </c>
      <c r="H31" s="5">
        <v>2</v>
      </c>
      <c r="I31" s="27">
        <v>136984.039248</v>
      </c>
      <c r="J31" s="48">
        <v>59982.8494858238</v>
      </c>
      <c r="K31" s="23">
        <f t="shared" si="0"/>
        <v>68492.019624</v>
      </c>
      <c r="L31" s="23">
        <f t="shared" si="1"/>
        <v>3483</v>
      </c>
      <c r="M31" s="23">
        <f t="shared" si="2"/>
        <v>21.1826586276199</v>
      </c>
      <c r="V31" s="52">
        <f t="shared" si="3"/>
        <v>3483</v>
      </c>
      <c r="W31" s="45">
        <f t="shared" si="4"/>
        <v>3483</v>
      </c>
    </row>
    <row r="32" s="1" customFormat="1" customHeight="1" spans="1:23">
      <c r="A32" s="22" t="s">
        <v>38</v>
      </c>
      <c r="B32" s="22" t="s">
        <v>42</v>
      </c>
      <c r="C32" s="11" t="s">
        <v>96</v>
      </c>
      <c r="D32" s="62">
        <v>1748.4</v>
      </c>
      <c r="E32" s="23">
        <f>1388749.8/20*2</f>
        <v>138874.98</v>
      </c>
      <c r="F32" s="59">
        <v>0</v>
      </c>
      <c r="G32" s="59">
        <v>0</v>
      </c>
      <c r="H32" s="5">
        <v>2</v>
      </c>
      <c r="I32" s="23">
        <f>1388749.8/20*2</f>
        <v>138874.98</v>
      </c>
      <c r="J32" s="23"/>
      <c r="K32" s="23"/>
      <c r="L32" s="23"/>
      <c r="M32" s="23"/>
      <c r="V32" s="72" t="e">
        <f t="shared" si="3"/>
        <v>#DIV/0!</v>
      </c>
      <c r="W32" s="45" t="e">
        <f t="shared" si="4"/>
        <v>#DIV/0!</v>
      </c>
    </row>
    <row r="33" s="1" customFormat="1" customHeight="1" spans="6:23">
      <c r="F33" s="54"/>
      <c r="G33" s="54"/>
      <c r="H33" s="54"/>
      <c r="I33" s="40"/>
      <c r="J33" s="40"/>
      <c r="K33" s="40"/>
      <c r="L33" s="40"/>
      <c r="M33" s="40"/>
      <c r="V33" s="52"/>
      <c r="W33" s="45"/>
    </row>
    <row r="36" s="1" customFormat="1" customHeight="1" spans="1:13">
      <c r="A36" s="33" t="s">
        <v>97</v>
      </c>
      <c r="B36" s="34"/>
      <c r="C36" s="34"/>
      <c r="D36" s="34"/>
      <c r="F36" s="54"/>
      <c r="G36" s="54"/>
      <c r="H36" s="54"/>
      <c r="I36" s="40"/>
      <c r="J36" s="40"/>
      <c r="K36" s="40"/>
      <c r="L36" s="40"/>
      <c r="M36" s="40"/>
    </row>
    <row r="37" s="1" customFormat="1" customHeight="1" spans="1:13">
      <c r="A37" s="34"/>
      <c r="B37" s="34"/>
      <c r="C37" s="34"/>
      <c r="D37" s="34"/>
      <c r="F37" s="54"/>
      <c r="G37" s="54"/>
      <c r="H37" s="54"/>
      <c r="I37" s="40"/>
      <c r="J37" s="40"/>
      <c r="K37" s="40"/>
      <c r="L37" s="40"/>
      <c r="M37" s="40"/>
    </row>
    <row r="38" s="1" customFormat="1" customHeight="1" spans="1:13">
      <c r="A38" s="34"/>
      <c r="B38" s="34"/>
      <c r="C38" s="34"/>
      <c r="D38" s="34"/>
      <c r="F38" s="54"/>
      <c r="G38" s="54"/>
      <c r="H38" s="54"/>
      <c r="I38" s="40"/>
      <c r="J38" s="40"/>
      <c r="K38" s="40"/>
      <c r="L38" s="40"/>
      <c r="M38" s="40"/>
    </row>
    <row r="39" s="1" customFormat="1" customHeight="1" spans="1:13">
      <c r="A39" s="34"/>
      <c r="B39" s="34"/>
      <c r="C39" s="34"/>
      <c r="D39" s="34"/>
      <c r="F39" s="54"/>
      <c r="G39" s="54"/>
      <c r="H39" s="54"/>
      <c r="I39" s="40"/>
      <c r="J39" s="40"/>
      <c r="K39" s="40"/>
      <c r="L39" s="40"/>
      <c r="M39" s="40"/>
    </row>
    <row r="40" s="1" customFormat="1" customHeight="1" spans="1:13">
      <c r="A40" s="34"/>
      <c r="B40" s="34"/>
      <c r="C40" s="34"/>
      <c r="D40" s="34"/>
      <c r="F40" s="54"/>
      <c r="G40" s="54"/>
      <c r="H40" s="54"/>
      <c r="I40" s="40"/>
      <c r="J40" s="40"/>
      <c r="K40" s="40"/>
      <c r="L40" s="40"/>
      <c r="M40" s="40"/>
    </row>
    <row r="41" s="1" customFormat="1" customHeight="1" spans="1:13">
      <c r="A41" s="34"/>
      <c r="B41" s="34"/>
      <c r="C41" s="34"/>
      <c r="D41" s="34"/>
      <c r="F41" s="54"/>
      <c r="G41" s="54"/>
      <c r="H41" s="54"/>
      <c r="I41" s="40"/>
      <c r="J41" s="40"/>
      <c r="K41" s="40"/>
      <c r="L41" s="40"/>
      <c r="M41" s="40"/>
    </row>
    <row r="42" s="1" customFormat="1" customHeight="1" spans="1:13">
      <c r="A42" s="34"/>
      <c r="B42" s="34"/>
      <c r="C42" s="34"/>
      <c r="D42" s="34"/>
      <c r="F42" s="54"/>
      <c r="G42" s="54"/>
      <c r="H42" s="54"/>
      <c r="I42" s="40"/>
      <c r="J42" s="40"/>
      <c r="K42" s="40"/>
      <c r="L42" s="40"/>
      <c r="M42" s="40"/>
    </row>
    <row r="43" s="1" customFormat="1" customHeight="1" spans="1:13">
      <c r="A43" s="34"/>
      <c r="B43" s="34"/>
      <c r="C43" s="34"/>
      <c r="D43" s="34"/>
      <c r="F43" s="54"/>
      <c r="G43" s="54"/>
      <c r="H43" s="54"/>
      <c r="I43" s="40"/>
      <c r="J43" s="40"/>
      <c r="K43" s="40"/>
      <c r="L43" s="40"/>
      <c r="M43" s="40"/>
    </row>
    <row r="44" s="1" customFormat="1" customHeight="1" spans="1:13">
      <c r="A44" s="34"/>
      <c r="B44" s="34"/>
      <c r="C44" s="34"/>
      <c r="D44" s="34"/>
      <c r="F44" s="54"/>
      <c r="G44" s="54"/>
      <c r="H44" s="54"/>
      <c r="I44" s="40"/>
      <c r="J44" s="40"/>
      <c r="K44" s="40"/>
      <c r="L44" s="40"/>
      <c r="M44" s="40"/>
    </row>
    <row r="45" s="1" customFormat="1" customHeight="1" spans="1:13">
      <c r="A45" s="34"/>
      <c r="B45" s="34"/>
      <c r="C45" s="34"/>
      <c r="D45" s="34"/>
      <c r="F45" s="54"/>
      <c r="G45" s="54"/>
      <c r="H45" s="54"/>
      <c r="I45" s="40"/>
      <c r="J45" s="40"/>
      <c r="K45" s="40"/>
      <c r="L45" s="40"/>
      <c r="M45" s="40"/>
    </row>
    <row r="46" s="1" customFormat="1" customHeight="1" spans="1:13">
      <c r="A46" s="34"/>
      <c r="B46" s="34"/>
      <c r="C46" s="34"/>
      <c r="D46" s="34"/>
      <c r="F46" s="54"/>
      <c r="G46" s="54"/>
      <c r="H46" s="54"/>
      <c r="I46" s="40"/>
      <c r="J46" s="40"/>
      <c r="K46" s="40"/>
      <c r="L46" s="40"/>
      <c r="M46" s="40"/>
    </row>
    <row r="47" s="1" customFormat="1" customHeight="1" spans="1:13">
      <c r="A47" s="34"/>
      <c r="B47" s="34"/>
      <c r="C47" s="34"/>
      <c r="D47" s="34"/>
      <c r="F47" s="54"/>
      <c r="G47" s="54"/>
      <c r="H47" s="54"/>
      <c r="I47" s="40"/>
      <c r="J47" s="40"/>
      <c r="K47" s="40"/>
      <c r="L47" s="40"/>
      <c r="M47" s="40"/>
    </row>
  </sheetData>
  <mergeCells count="1">
    <mergeCell ref="A36:D47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7"/>
  <sheetViews>
    <sheetView tabSelected="1" workbookViewId="0">
      <selection activeCell="E8" sqref="E8"/>
    </sheetView>
  </sheetViews>
  <sheetFormatPr defaultColWidth="9" defaultRowHeight="37" customHeight="1"/>
  <cols>
    <col min="1" max="1" width="12.4513274336283" style="1" customWidth="1"/>
    <col min="2" max="2" width="9" style="1"/>
    <col min="3" max="3" width="19.4513274336283" style="1" customWidth="1"/>
    <col min="4" max="4" width="11.4513274336283" style="1" customWidth="1"/>
    <col min="5" max="5" width="15.1858407079646" style="1"/>
    <col min="6" max="6" width="9" style="3"/>
    <col min="7" max="7" width="15.4513274336283" style="3" customWidth="1"/>
    <col min="8" max="8" width="9" style="3"/>
    <col min="9" max="9" width="15.1858407079646" style="1"/>
    <col min="10" max="10" width="11.3628318584071" style="1" customWidth="1"/>
    <col min="11" max="11" width="10.7256637168142" style="1" customWidth="1"/>
    <col min="12" max="12" width="11.2743362831858" style="1" customWidth="1"/>
    <col min="13" max="13" width="10.8141592920354" style="1" customWidth="1"/>
    <col min="14" max="14" width="9" style="1" customWidth="1"/>
    <col min="15" max="16" width="11.9115044247788" style="1" customWidth="1"/>
    <col min="17" max="17" width="13" style="1" customWidth="1"/>
    <col min="18" max="18" width="9" style="1" customWidth="1"/>
    <col min="19" max="20" width="11.9115044247788" style="1" customWidth="1"/>
    <col min="21" max="21" width="12.1858407079646" style="1" customWidth="1"/>
    <col min="22" max="22" width="9" style="1" customWidth="1"/>
    <col min="23" max="23" width="14.3628318584071" style="1" customWidth="1"/>
    <col min="24" max="24" width="15.2743362831858" style="1" customWidth="1"/>
    <col min="25" max="16384" width="9" style="1"/>
  </cols>
  <sheetData>
    <row r="1" s="1" customFormat="1" ht="22" customHeight="1" spans="1:13">
      <c r="A1" s="4"/>
      <c r="B1" s="4"/>
      <c r="C1" s="4"/>
      <c r="D1" s="4"/>
      <c r="E1" s="4">
        <v>2024</v>
      </c>
      <c r="F1" s="5"/>
      <c r="G1" s="5"/>
      <c r="H1" s="5"/>
      <c r="I1" s="4"/>
      <c r="J1" s="4"/>
      <c r="K1" s="4"/>
      <c r="L1" s="4"/>
      <c r="M1" s="4"/>
    </row>
    <row r="2" s="2" customFormat="1" ht="33" customHeight="1" spans="1:24">
      <c r="A2" s="6" t="s">
        <v>99</v>
      </c>
      <c r="B2" s="7" t="s">
        <v>1</v>
      </c>
      <c r="C2" s="8" t="s">
        <v>2</v>
      </c>
      <c r="D2" s="7" t="s">
        <v>3</v>
      </c>
      <c r="E2" s="7" t="s">
        <v>106</v>
      </c>
      <c r="F2" s="9" t="s">
        <v>5</v>
      </c>
      <c r="G2" s="9" t="s">
        <v>6</v>
      </c>
      <c r="H2" s="10" t="s">
        <v>7</v>
      </c>
      <c r="I2" s="35" t="s">
        <v>8</v>
      </c>
      <c r="J2" s="35" t="s">
        <v>9</v>
      </c>
      <c r="K2" s="35" t="s">
        <v>10</v>
      </c>
      <c r="L2" s="36" t="s">
        <v>11</v>
      </c>
      <c r="M2" s="36" t="s">
        <v>12</v>
      </c>
      <c r="W2" s="38" t="s">
        <v>101</v>
      </c>
      <c r="X2" s="38" t="s">
        <v>102</v>
      </c>
    </row>
    <row r="3" s="1" customFormat="1" ht="27" customHeight="1" spans="1:24">
      <c r="A3" s="11" t="s">
        <v>15</v>
      </c>
      <c r="B3" s="11" t="s">
        <v>16</v>
      </c>
      <c r="C3" s="11" t="s">
        <v>17</v>
      </c>
      <c r="D3" s="12">
        <v>81600</v>
      </c>
      <c r="E3" s="13">
        <v>1396284</v>
      </c>
      <c r="F3" s="14">
        <v>26</v>
      </c>
      <c r="G3" s="14">
        <v>24</v>
      </c>
      <c r="H3" s="15">
        <v>26</v>
      </c>
      <c r="I3" s="23">
        <v>1370592</v>
      </c>
      <c r="J3" s="23">
        <v>25692</v>
      </c>
      <c r="K3" s="23">
        <f t="shared" ref="K3:K8" si="0">I3/H3</f>
        <v>52715.0769230769</v>
      </c>
      <c r="L3" s="23">
        <f t="shared" ref="L3:L8" si="1">D3/H3</f>
        <v>3138.46153846154</v>
      </c>
      <c r="M3" s="23">
        <f t="shared" ref="M3:M8" si="2">E3/D3</f>
        <v>17.1113235294118</v>
      </c>
      <c r="W3" s="49">
        <f t="shared" ref="W3:W8" si="3">D3/F3</f>
        <v>3138.46153846154</v>
      </c>
      <c r="X3" s="50">
        <f t="shared" ref="X3:X8" si="4">D3/G3</f>
        <v>3400</v>
      </c>
    </row>
    <row r="4" s="1" customFormat="1" ht="30" customHeight="1" spans="1:24">
      <c r="A4" s="11" t="s">
        <v>18</v>
      </c>
      <c r="B4" s="11" t="s">
        <v>19</v>
      </c>
      <c r="C4" s="11" t="s">
        <v>20</v>
      </c>
      <c r="D4" s="12">
        <v>70954.83</v>
      </c>
      <c r="E4" s="16">
        <v>1278788.61624044</v>
      </c>
      <c r="F4" s="14">
        <v>24</v>
      </c>
      <c r="G4" s="14">
        <v>24</v>
      </c>
      <c r="H4" s="17">
        <v>24</v>
      </c>
      <c r="I4" s="37">
        <v>1278788.61624044</v>
      </c>
      <c r="J4" s="23"/>
      <c r="K4" s="23">
        <f t="shared" si="0"/>
        <v>53282.8590100183</v>
      </c>
      <c r="L4" s="23">
        <f t="shared" si="1"/>
        <v>2956.45125</v>
      </c>
      <c r="M4" s="23">
        <f t="shared" si="2"/>
        <v>18.0225731812822</v>
      </c>
      <c r="W4" s="49">
        <f t="shared" si="3"/>
        <v>2956.45125</v>
      </c>
      <c r="X4" s="50">
        <f t="shared" si="4"/>
        <v>2956.45125</v>
      </c>
    </row>
    <row r="5" s="1" customFormat="1" customHeight="1" spans="1:24">
      <c r="A5" s="11" t="s">
        <v>103</v>
      </c>
      <c r="B5" s="18" t="s">
        <v>24</v>
      </c>
      <c r="C5" s="19" t="s">
        <v>25</v>
      </c>
      <c r="D5" s="12">
        <v>52286</v>
      </c>
      <c r="E5" s="13">
        <v>1354082</v>
      </c>
      <c r="F5" s="14">
        <v>19</v>
      </c>
      <c r="G5" s="14">
        <v>19</v>
      </c>
      <c r="H5" s="17">
        <v>19</v>
      </c>
      <c r="I5" s="37">
        <v>1012240</v>
      </c>
      <c r="J5" s="37">
        <v>341842</v>
      </c>
      <c r="K5" s="23">
        <f t="shared" si="0"/>
        <v>53275.7894736842</v>
      </c>
      <c r="L5" s="23">
        <f t="shared" si="1"/>
        <v>2751.89473684211</v>
      </c>
      <c r="M5" s="23">
        <f t="shared" si="2"/>
        <v>25.89760165245</v>
      </c>
      <c r="N5" s="1" t="s">
        <v>21</v>
      </c>
      <c r="P5" s="38" t="s">
        <v>101</v>
      </c>
      <c r="Q5" s="38" t="s">
        <v>102</v>
      </c>
      <c r="S5" s="1" t="s">
        <v>22</v>
      </c>
      <c r="T5" s="38" t="s">
        <v>101</v>
      </c>
      <c r="U5" s="38" t="s">
        <v>102</v>
      </c>
      <c r="W5" s="49">
        <f t="shared" si="3"/>
        <v>2751.89473684211</v>
      </c>
      <c r="X5" s="50">
        <f t="shared" si="4"/>
        <v>2751.89473684211</v>
      </c>
    </row>
    <row r="6" s="1" customFormat="1" customHeight="1" spans="1:24">
      <c r="A6" s="20" t="s">
        <v>27</v>
      </c>
      <c r="B6" s="11" t="s">
        <v>28</v>
      </c>
      <c r="C6" s="11" t="s">
        <v>29</v>
      </c>
      <c r="D6" s="12">
        <v>51859.87</v>
      </c>
      <c r="E6" s="16">
        <v>3031962.58</v>
      </c>
      <c r="F6" s="14">
        <v>27</v>
      </c>
      <c r="G6" s="14">
        <v>27</v>
      </c>
      <c r="H6" s="17">
        <v>52</v>
      </c>
      <c r="I6" s="37">
        <v>2951962.58</v>
      </c>
      <c r="J6" s="37">
        <v>80000</v>
      </c>
      <c r="K6" s="23"/>
      <c r="L6" s="23"/>
      <c r="M6" s="23"/>
      <c r="N6" s="39" t="s">
        <v>26</v>
      </c>
      <c r="O6" s="40">
        <f>AVERAGE(L3:L14)</f>
        <v>2531.69386767343</v>
      </c>
      <c r="P6" s="41">
        <f>AVERAGE(W3:W14)</f>
        <v>2531.69386767343</v>
      </c>
      <c r="Q6" s="41">
        <f>AVERAGE(X3:X14)</f>
        <v>2624.91112601536</v>
      </c>
      <c r="S6" s="40">
        <f>AVERAGE(L3:L15)</f>
        <v>2415.81351606676</v>
      </c>
      <c r="T6" s="45">
        <f>AVERAGE(W3:W15)</f>
        <v>2415.81351606676</v>
      </c>
      <c r="U6" s="45">
        <f>AVERAGE(X3:X15)</f>
        <v>2500.55647819578</v>
      </c>
      <c r="W6" s="49"/>
      <c r="X6" s="50"/>
    </row>
    <row r="7" s="1" customFormat="1" customHeight="1" spans="1:24">
      <c r="A7" s="11" t="s">
        <v>31</v>
      </c>
      <c r="B7" s="11" t="s">
        <v>32</v>
      </c>
      <c r="C7" s="11" t="s">
        <v>33</v>
      </c>
      <c r="D7" s="12">
        <v>45904.61</v>
      </c>
      <c r="E7" s="21">
        <v>2055770.07</v>
      </c>
      <c r="F7" s="14">
        <v>23</v>
      </c>
      <c r="G7" s="14">
        <v>21</v>
      </c>
      <c r="H7" s="17">
        <v>23</v>
      </c>
      <c r="I7" s="27">
        <v>1993265.07</v>
      </c>
      <c r="J7" s="27">
        <v>62505</v>
      </c>
      <c r="K7" s="23">
        <f t="shared" si="0"/>
        <v>86663.6986956522</v>
      </c>
      <c r="L7" s="23">
        <f t="shared" si="1"/>
        <v>1995.85260869565</v>
      </c>
      <c r="M7" s="23">
        <f t="shared" si="2"/>
        <v>44.7835210886227</v>
      </c>
      <c r="N7" s="39" t="s">
        <v>30</v>
      </c>
      <c r="O7" s="42">
        <f>AVERAGE(K3:K7,K8:K10,K12:K14)</f>
        <v>60568.7380298998</v>
      </c>
      <c r="S7" s="1">
        <v>5.87</v>
      </c>
      <c r="W7" s="49">
        <f t="shared" si="3"/>
        <v>1995.85260869565</v>
      </c>
      <c r="X7" s="50">
        <f t="shared" si="4"/>
        <v>2185.93380952381</v>
      </c>
    </row>
    <row r="8" s="1" customFormat="1" customHeight="1" spans="1:24">
      <c r="A8" s="11" t="s">
        <v>35</v>
      </c>
      <c r="B8" s="11" t="s">
        <v>36</v>
      </c>
      <c r="C8" s="11" t="s">
        <v>37</v>
      </c>
      <c r="D8" s="12">
        <v>44485.68</v>
      </c>
      <c r="E8" s="21">
        <v>1255084.8</v>
      </c>
      <c r="F8" s="14">
        <v>20</v>
      </c>
      <c r="G8" s="14">
        <v>20</v>
      </c>
      <c r="H8" s="17">
        <v>20</v>
      </c>
      <c r="I8" s="27">
        <v>1255084.8</v>
      </c>
      <c r="J8" s="23"/>
      <c r="K8" s="23">
        <f t="shared" si="0"/>
        <v>62754.24</v>
      </c>
      <c r="L8" s="23">
        <f t="shared" si="1"/>
        <v>2224.284</v>
      </c>
      <c r="M8" s="23">
        <f t="shared" si="2"/>
        <v>28.2132317635698</v>
      </c>
      <c r="N8" s="39" t="s">
        <v>34</v>
      </c>
      <c r="O8" s="1">
        <v>26.43</v>
      </c>
      <c r="S8" s="51">
        <v>28.96</v>
      </c>
      <c r="T8" s="51"/>
      <c r="U8" s="51"/>
      <c r="V8" s="51"/>
      <c r="W8" s="49">
        <f t="shared" si="3"/>
        <v>2224.284</v>
      </c>
      <c r="X8" s="50">
        <f t="shared" si="4"/>
        <v>2224.284</v>
      </c>
    </row>
    <row r="9" s="1" customFormat="1" customHeight="1" spans="1:24">
      <c r="A9" s="22" t="s">
        <v>38</v>
      </c>
      <c r="B9" s="22" t="s">
        <v>39</v>
      </c>
      <c r="C9" s="11" t="s">
        <v>40</v>
      </c>
      <c r="D9" s="12">
        <v>43229.29</v>
      </c>
      <c r="E9" s="23">
        <v>379250.454545455</v>
      </c>
      <c r="F9" s="14">
        <v>10</v>
      </c>
      <c r="G9" s="14">
        <v>10</v>
      </c>
      <c r="H9" s="17">
        <v>10</v>
      </c>
      <c r="I9" s="23">
        <f>834351/22*10</f>
        <v>379250.454545455</v>
      </c>
      <c r="J9" s="23"/>
      <c r="K9" s="23"/>
      <c r="L9" s="23"/>
      <c r="M9" s="23"/>
      <c r="O9" s="43">
        <f>AVERAGE(K3:K14)</f>
        <v>58696.2891499868</v>
      </c>
      <c r="W9" s="49"/>
      <c r="X9" s="50"/>
    </row>
    <row r="10" s="1" customFormat="1" customHeight="1" spans="1:24">
      <c r="A10" s="11" t="s">
        <v>41</v>
      </c>
      <c r="B10" s="11" t="s">
        <v>42</v>
      </c>
      <c r="C10" s="11" t="s">
        <v>43</v>
      </c>
      <c r="D10" s="12">
        <v>40480.99</v>
      </c>
      <c r="E10" s="23">
        <v>1299993.55</v>
      </c>
      <c r="F10" s="14">
        <v>20</v>
      </c>
      <c r="G10" s="14">
        <v>19</v>
      </c>
      <c r="H10" s="17">
        <v>20</v>
      </c>
      <c r="I10" s="16">
        <v>1201538.55</v>
      </c>
      <c r="J10" s="16">
        <v>98455</v>
      </c>
      <c r="K10" s="23">
        <f t="shared" ref="K10:K27" si="5">I10/H10</f>
        <v>60076.9275</v>
      </c>
      <c r="L10" s="23">
        <f t="shared" ref="L10:L27" si="6">D10/H10</f>
        <v>2024.0495</v>
      </c>
      <c r="M10" s="23">
        <f t="shared" ref="M10:M27" si="7">E10/D10</f>
        <v>32.1136797790766</v>
      </c>
      <c r="W10" s="49">
        <f t="shared" ref="W10:W27" si="8">D10/F10</f>
        <v>2024.0495</v>
      </c>
      <c r="X10" s="50">
        <f t="shared" ref="X10:X27" si="9">D10/G10</f>
        <v>2130.57842105263</v>
      </c>
    </row>
    <row r="11" s="1" customFormat="1" customHeight="1" spans="1:24">
      <c r="A11" s="11" t="s">
        <v>44</v>
      </c>
      <c r="B11" s="11"/>
      <c r="C11" s="24" t="s">
        <v>45</v>
      </c>
      <c r="D11" s="12">
        <v>40127.7</v>
      </c>
      <c r="E11" s="16">
        <v>543975.24</v>
      </c>
      <c r="F11" s="14">
        <v>13</v>
      </c>
      <c r="G11" s="14">
        <v>13</v>
      </c>
      <c r="H11" s="17">
        <v>13</v>
      </c>
      <c r="I11" s="27">
        <v>543975.24</v>
      </c>
      <c r="J11" s="23"/>
      <c r="K11" s="44">
        <f t="shared" si="5"/>
        <v>41844.2492307692</v>
      </c>
      <c r="L11" s="23">
        <f t="shared" si="6"/>
        <v>3086.74615384615</v>
      </c>
      <c r="M11" s="23">
        <f t="shared" si="7"/>
        <v>13.5561031407232</v>
      </c>
      <c r="W11" s="49">
        <f t="shared" si="8"/>
        <v>3086.74615384615</v>
      </c>
      <c r="X11" s="50">
        <f t="shared" si="9"/>
        <v>3086.74615384615</v>
      </c>
    </row>
    <row r="12" s="1" customFormat="1" customHeight="1" spans="1:24">
      <c r="A12" s="11" t="s">
        <v>46</v>
      </c>
      <c r="B12" s="11" t="s">
        <v>47</v>
      </c>
      <c r="C12" s="11" t="s">
        <v>48</v>
      </c>
      <c r="D12" s="12">
        <v>39325.6</v>
      </c>
      <c r="E12" s="25">
        <v>961632</v>
      </c>
      <c r="F12" s="14">
        <v>18</v>
      </c>
      <c r="G12" s="14">
        <v>18</v>
      </c>
      <c r="H12" s="17">
        <v>18</v>
      </c>
      <c r="I12" s="27">
        <v>961632</v>
      </c>
      <c r="J12" s="23"/>
      <c r="K12" s="23">
        <f t="shared" si="5"/>
        <v>53424</v>
      </c>
      <c r="L12" s="23">
        <f t="shared" si="6"/>
        <v>2184.75555555556</v>
      </c>
      <c r="M12" s="23">
        <f t="shared" si="7"/>
        <v>24.4530789104298</v>
      </c>
      <c r="W12" s="49">
        <f t="shared" si="8"/>
        <v>2184.75555555556</v>
      </c>
      <c r="X12" s="50">
        <f t="shared" si="9"/>
        <v>2184.75555555556</v>
      </c>
    </row>
    <row r="13" s="1" customFormat="1" customHeight="1" spans="1:24">
      <c r="A13" s="11" t="s">
        <v>49</v>
      </c>
      <c r="B13" s="11" t="s">
        <v>42</v>
      </c>
      <c r="C13" s="11" t="s">
        <v>50</v>
      </c>
      <c r="D13" s="12">
        <v>37849.31</v>
      </c>
      <c r="E13" s="23">
        <v>838198.5</v>
      </c>
      <c r="F13" s="14">
        <v>15</v>
      </c>
      <c r="G13" s="14">
        <v>15</v>
      </c>
      <c r="H13" s="17">
        <v>15</v>
      </c>
      <c r="I13" s="27">
        <v>825700</v>
      </c>
      <c r="J13" s="27">
        <v>12500</v>
      </c>
      <c r="K13" s="23">
        <f t="shared" si="5"/>
        <v>55046.6666666667</v>
      </c>
      <c r="L13" s="23">
        <f t="shared" si="6"/>
        <v>2523.28733333333</v>
      </c>
      <c r="M13" s="23">
        <f t="shared" si="7"/>
        <v>22.1456745182409</v>
      </c>
      <c r="W13" s="49">
        <f t="shared" si="8"/>
        <v>2523.28733333333</v>
      </c>
      <c r="X13" s="50">
        <f t="shared" si="9"/>
        <v>2523.28733333333</v>
      </c>
    </row>
    <row r="14" s="1" customFormat="1" customHeight="1" spans="1:24">
      <c r="A14" s="11" t="s">
        <v>51</v>
      </c>
      <c r="B14" s="11" t="s">
        <v>52</v>
      </c>
      <c r="C14" s="11" t="s">
        <v>53</v>
      </c>
      <c r="D14" s="12">
        <v>36467.34</v>
      </c>
      <c r="E14" s="13">
        <v>1385738.76</v>
      </c>
      <c r="F14" s="14">
        <v>15</v>
      </c>
      <c r="G14" s="14">
        <v>13</v>
      </c>
      <c r="H14" s="17">
        <v>15</v>
      </c>
      <c r="I14" s="27">
        <v>1018190.76</v>
      </c>
      <c r="J14" s="27">
        <v>367548</v>
      </c>
      <c r="K14" s="23">
        <f t="shared" si="5"/>
        <v>67879.384</v>
      </c>
      <c r="L14" s="23">
        <f t="shared" si="6"/>
        <v>2431.156</v>
      </c>
      <c r="M14" s="23">
        <f t="shared" si="7"/>
        <v>37.9994471765695</v>
      </c>
      <c r="W14" s="49">
        <f t="shared" si="8"/>
        <v>2431.156</v>
      </c>
      <c r="X14" s="50">
        <f t="shared" si="9"/>
        <v>2805.18</v>
      </c>
    </row>
    <row r="15" s="1" customFormat="1" customHeight="1" spans="1:24">
      <c r="A15" s="11" t="s">
        <v>54</v>
      </c>
      <c r="B15" s="11" t="s">
        <v>55</v>
      </c>
      <c r="C15" s="11" t="s">
        <v>56</v>
      </c>
      <c r="D15" s="26">
        <v>35196.28</v>
      </c>
      <c r="E15" s="16">
        <v>1909044</v>
      </c>
      <c r="F15" s="14">
        <v>28</v>
      </c>
      <c r="G15" s="14">
        <v>28</v>
      </c>
      <c r="H15" s="17">
        <v>28</v>
      </c>
      <c r="I15" s="27">
        <f>1885044/32*28</f>
        <v>1649413.5</v>
      </c>
      <c r="J15" s="27">
        <v>24000</v>
      </c>
      <c r="K15" s="23">
        <f t="shared" si="5"/>
        <v>58907.625</v>
      </c>
      <c r="L15" s="23">
        <f t="shared" si="6"/>
        <v>1257.01</v>
      </c>
      <c r="M15" s="23">
        <f t="shared" si="7"/>
        <v>54.2399367205852</v>
      </c>
      <c r="N15" s="39" t="s">
        <v>26</v>
      </c>
      <c r="O15" s="40">
        <f>AVERAGE(L15:L31)</f>
        <v>2211.94092637311</v>
      </c>
      <c r="P15" s="45">
        <f>AVERAGE(W15:W31)</f>
        <v>2237.21737496536</v>
      </c>
      <c r="Q15" s="45">
        <f>AVERAGE(X15:X31)</f>
        <v>2262.97755321134</v>
      </c>
      <c r="S15" s="40">
        <f>AVERAGE(L16:L31)</f>
        <v>2275.60298813131</v>
      </c>
      <c r="T15" s="45">
        <f>AVERAGE(W16:W31)</f>
        <v>2302.56453329639</v>
      </c>
      <c r="U15" s="45">
        <f>AVERAGE(X16:X31)</f>
        <v>2330.04205675876</v>
      </c>
      <c r="W15" s="52">
        <f t="shared" si="8"/>
        <v>1257.01</v>
      </c>
      <c r="X15" s="45">
        <f t="shared" si="9"/>
        <v>1257.01</v>
      </c>
    </row>
    <row r="16" s="1" customFormat="1" customHeight="1" spans="1:24">
      <c r="A16" s="11" t="s">
        <v>57</v>
      </c>
      <c r="B16" s="11" t="s">
        <v>58</v>
      </c>
      <c r="C16" s="11" t="s">
        <v>59</v>
      </c>
      <c r="D16" s="26">
        <v>34541</v>
      </c>
      <c r="E16" s="27">
        <v>1130686</v>
      </c>
      <c r="F16" s="14">
        <v>18</v>
      </c>
      <c r="G16" s="14">
        <v>17</v>
      </c>
      <c r="H16" s="17">
        <v>18</v>
      </c>
      <c r="I16" s="46">
        <v>1130686</v>
      </c>
      <c r="J16" s="23"/>
      <c r="K16" s="23">
        <f t="shared" si="5"/>
        <v>62815.8888888889</v>
      </c>
      <c r="L16" s="23">
        <f t="shared" si="6"/>
        <v>1918.94444444444</v>
      </c>
      <c r="M16" s="23">
        <f t="shared" si="7"/>
        <v>32.7346052517298</v>
      </c>
      <c r="N16" s="39" t="s">
        <v>30</v>
      </c>
      <c r="O16" s="42">
        <f>AVERAGE(K18:K32,K15:K16)</f>
        <v>59043.8058501721</v>
      </c>
      <c r="S16" s="1">
        <v>5.76</v>
      </c>
      <c r="W16" s="52">
        <f t="shared" si="8"/>
        <v>1918.94444444444</v>
      </c>
      <c r="X16" s="45">
        <f t="shared" si="9"/>
        <v>2031.82352941176</v>
      </c>
    </row>
    <row r="17" s="1" customFormat="1" customHeight="1" spans="1:24">
      <c r="A17" s="28" t="s">
        <v>60</v>
      </c>
      <c r="B17" s="29" t="s">
        <v>104</v>
      </c>
      <c r="C17" s="28" t="s">
        <v>105</v>
      </c>
      <c r="D17" s="30">
        <v>32778.8</v>
      </c>
      <c r="E17" s="23">
        <v>429000</v>
      </c>
      <c r="F17" s="14">
        <v>11</v>
      </c>
      <c r="G17" s="14">
        <v>11</v>
      </c>
      <c r="H17" s="17">
        <v>11</v>
      </c>
      <c r="I17" s="27">
        <v>410953</v>
      </c>
      <c r="J17" s="27">
        <v>18047</v>
      </c>
      <c r="K17" s="44">
        <f t="shared" si="5"/>
        <v>37359.3636363636</v>
      </c>
      <c r="L17" s="23">
        <f t="shared" si="6"/>
        <v>2979.89090909091</v>
      </c>
      <c r="M17" s="23">
        <f t="shared" si="7"/>
        <v>13.0877274335851</v>
      </c>
      <c r="N17" s="39" t="s">
        <v>34</v>
      </c>
      <c r="O17" s="1">
        <v>29.78</v>
      </c>
      <c r="S17" s="1">
        <v>28.15</v>
      </c>
      <c r="T17" s="53"/>
      <c r="U17" s="53"/>
      <c r="V17" s="53"/>
      <c r="W17" s="52">
        <f t="shared" si="8"/>
        <v>2979.89090909091</v>
      </c>
      <c r="X17" s="45">
        <f t="shared" si="9"/>
        <v>2979.89090909091</v>
      </c>
    </row>
    <row r="18" s="1" customFormat="1" customHeight="1" spans="1:24">
      <c r="A18" s="11" t="s">
        <v>60</v>
      </c>
      <c r="B18" s="11" t="s">
        <v>61</v>
      </c>
      <c r="C18" s="11" t="s">
        <v>62</v>
      </c>
      <c r="D18" s="26">
        <v>31503.17</v>
      </c>
      <c r="E18" s="23">
        <v>998400</v>
      </c>
      <c r="F18" s="14">
        <v>16</v>
      </c>
      <c r="G18" s="14">
        <v>16</v>
      </c>
      <c r="H18" s="17">
        <v>16</v>
      </c>
      <c r="I18" s="27">
        <v>956400</v>
      </c>
      <c r="J18" s="27">
        <v>42000</v>
      </c>
      <c r="K18" s="23">
        <f t="shared" si="5"/>
        <v>59775</v>
      </c>
      <c r="L18" s="23">
        <f t="shared" si="6"/>
        <v>1968.948125</v>
      </c>
      <c r="M18" s="23">
        <f t="shared" si="7"/>
        <v>31.6920487684255</v>
      </c>
      <c r="N18" s="39"/>
      <c r="O18" s="43">
        <f>AVERAGE(K15:K32)</f>
        <v>57688.528211809</v>
      </c>
      <c r="S18" s="53"/>
      <c r="T18" s="53"/>
      <c r="U18" s="53"/>
      <c r="V18" s="53"/>
      <c r="W18" s="52">
        <f t="shared" si="8"/>
        <v>1968.948125</v>
      </c>
      <c r="X18" s="45">
        <f t="shared" si="9"/>
        <v>1968.948125</v>
      </c>
    </row>
    <row r="19" s="1" customFormat="1" customHeight="1" spans="1:24">
      <c r="A19" s="11" t="s">
        <v>63</v>
      </c>
      <c r="B19" s="11" t="s">
        <v>64</v>
      </c>
      <c r="C19" s="11" t="s">
        <v>65</v>
      </c>
      <c r="D19" s="26">
        <v>30360</v>
      </c>
      <c r="E19" s="13">
        <v>1003057.5026</v>
      </c>
      <c r="F19" s="14">
        <v>13</v>
      </c>
      <c r="G19" s="14">
        <v>12</v>
      </c>
      <c r="H19" s="17">
        <v>15</v>
      </c>
      <c r="I19" s="27">
        <v>967366.9104</v>
      </c>
      <c r="J19" s="27">
        <v>35690.5922</v>
      </c>
      <c r="K19" s="23">
        <f t="shared" si="5"/>
        <v>64491.12736</v>
      </c>
      <c r="L19" s="23">
        <f t="shared" si="6"/>
        <v>2024</v>
      </c>
      <c r="M19" s="23">
        <f t="shared" si="7"/>
        <v>33.0387846706192</v>
      </c>
      <c r="W19" s="52">
        <f t="shared" si="8"/>
        <v>2335.38461538462</v>
      </c>
      <c r="X19" s="45">
        <f t="shared" si="9"/>
        <v>2530</v>
      </c>
    </row>
    <row r="20" s="1" customFormat="1" customHeight="1" spans="1:24">
      <c r="A20" s="11" t="s">
        <v>66</v>
      </c>
      <c r="B20" s="11" t="s">
        <v>67</v>
      </c>
      <c r="C20" s="11" t="s">
        <v>68</v>
      </c>
      <c r="D20" s="26">
        <v>28469.8</v>
      </c>
      <c r="E20" s="31">
        <v>1180508.9880783</v>
      </c>
      <c r="F20" s="14">
        <v>17</v>
      </c>
      <c r="G20" s="14">
        <v>16</v>
      </c>
      <c r="H20" s="32">
        <v>18</v>
      </c>
      <c r="I20" s="47">
        <v>1142974.67774041</v>
      </c>
      <c r="J20" s="47">
        <v>37534.3103378947</v>
      </c>
      <c r="K20" s="23">
        <f t="shared" si="5"/>
        <v>63498.5932078006</v>
      </c>
      <c r="L20" s="23">
        <f t="shared" si="6"/>
        <v>1581.65555555556</v>
      </c>
      <c r="M20" s="23">
        <f t="shared" si="7"/>
        <v>41.4653066785963</v>
      </c>
      <c r="W20" s="52">
        <f t="shared" si="8"/>
        <v>1674.69411764706</v>
      </c>
      <c r="X20" s="45">
        <f t="shared" si="9"/>
        <v>1779.3625</v>
      </c>
    </row>
    <row r="21" s="1" customFormat="1" customHeight="1" spans="1:24">
      <c r="A21" s="11" t="s">
        <v>69</v>
      </c>
      <c r="B21" s="11" t="s">
        <v>70</v>
      </c>
      <c r="C21" s="11" t="s">
        <v>71</v>
      </c>
      <c r="D21" s="26">
        <v>25450</v>
      </c>
      <c r="E21" s="23">
        <v>639490.524144512</v>
      </c>
      <c r="F21" s="14">
        <v>11</v>
      </c>
      <c r="G21" s="14">
        <v>11</v>
      </c>
      <c r="H21" s="17">
        <v>11</v>
      </c>
      <c r="I21" s="27">
        <v>615563.876626954</v>
      </c>
      <c r="J21" s="27">
        <v>23926.6475175577</v>
      </c>
      <c r="K21" s="23">
        <f t="shared" si="5"/>
        <v>55960.3524206322</v>
      </c>
      <c r="L21" s="23">
        <f t="shared" si="6"/>
        <v>2313.63636363636</v>
      </c>
      <c r="M21" s="23">
        <f t="shared" si="7"/>
        <v>25.1273290430064</v>
      </c>
      <c r="W21" s="52">
        <f t="shared" si="8"/>
        <v>2313.63636363636</v>
      </c>
      <c r="X21" s="45">
        <f t="shared" si="9"/>
        <v>2313.63636363636</v>
      </c>
    </row>
    <row r="22" s="1" customFormat="1" customHeight="1" spans="1:24">
      <c r="A22" s="11" t="s">
        <v>72</v>
      </c>
      <c r="B22" s="11" t="s">
        <v>73</v>
      </c>
      <c r="C22" s="11" t="s">
        <v>74</v>
      </c>
      <c r="D22" s="26">
        <v>24839.87</v>
      </c>
      <c r="E22" s="21">
        <v>699688.18</v>
      </c>
      <c r="F22" s="14">
        <v>10</v>
      </c>
      <c r="G22" s="14">
        <v>10</v>
      </c>
      <c r="H22" s="17">
        <v>10</v>
      </c>
      <c r="I22" s="27">
        <v>609318</v>
      </c>
      <c r="J22" s="27">
        <v>90370.18</v>
      </c>
      <c r="K22" s="23">
        <f t="shared" si="5"/>
        <v>60931.8</v>
      </c>
      <c r="L22" s="23">
        <f t="shared" si="6"/>
        <v>2483.987</v>
      </c>
      <c r="M22" s="23">
        <f t="shared" si="7"/>
        <v>28.1679485440141</v>
      </c>
      <c r="W22" s="52">
        <f t="shared" si="8"/>
        <v>2483.987</v>
      </c>
      <c r="X22" s="45">
        <f t="shared" si="9"/>
        <v>2483.987</v>
      </c>
    </row>
    <row r="23" s="1" customFormat="1" customHeight="1" spans="1:24">
      <c r="A23" s="11" t="s">
        <v>75</v>
      </c>
      <c r="B23" s="11" t="s">
        <v>76</v>
      </c>
      <c r="C23" s="11" t="s">
        <v>77</v>
      </c>
      <c r="D23" s="26">
        <v>24115.18</v>
      </c>
      <c r="E23" s="23">
        <v>657360</v>
      </c>
      <c r="F23" s="14">
        <v>11</v>
      </c>
      <c r="G23" s="14">
        <v>11</v>
      </c>
      <c r="H23" s="17">
        <v>11</v>
      </c>
      <c r="I23" s="27">
        <v>602949.3</v>
      </c>
      <c r="J23" s="27">
        <v>54410.7</v>
      </c>
      <c r="K23" s="23">
        <f t="shared" si="5"/>
        <v>54813.5727272727</v>
      </c>
      <c r="L23" s="23">
        <f t="shared" si="6"/>
        <v>2192.28909090909</v>
      </c>
      <c r="M23" s="23">
        <f t="shared" si="7"/>
        <v>27.2591786584218</v>
      </c>
      <c r="W23" s="52">
        <f t="shared" si="8"/>
        <v>2192.28909090909</v>
      </c>
      <c r="X23" s="45">
        <f t="shared" si="9"/>
        <v>2192.28909090909</v>
      </c>
    </row>
    <row r="24" s="1" customFormat="1" customHeight="1" spans="1:24">
      <c r="A24" s="11" t="s">
        <v>78</v>
      </c>
      <c r="B24" s="11" t="s">
        <v>79</v>
      </c>
      <c r="C24" s="11" t="s">
        <v>80</v>
      </c>
      <c r="D24" s="26">
        <v>23154.69</v>
      </c>
      <c r="E24" s="23">
        <v>630738.461538461</v>
      </c>
      <c r="F24" s="14">
        <v>10</v>
      </c>
      <c r="G24" s="14">
        <v>10</v>
      </c>
      <c r="H24" s="17">
        <v>10</v>
      </c>
      <c r="I24" s="27">
        <v>610824.615384615</v>
      </c>
      <c r="J24" s="48">
        <v>191957.008293428</v>
      </c>
      <c r="K24" s="23">
        <f t="shared" si="5"/>
        <v>61082.4615384615</v>
      </c>
      <c r="L24" s="23">
        <f t="shared" si="6"/>
        <v>2315.469</v>
      </c>
      <c r="M24" s="23">
        <f t="shared" si="7"/>
        <v>27.2402032391045</v>
      </c>
      <c r="W24" s="52">
        <f t="shared" si="8"/>
        <v>2315.469</v>
      </c>
      <c r="X24" s="45">
        <f t="shared" si="9"/>
        <v>2315.469</v>
      </c>
    </row>
    <row r="25" s="1" customFormat="1" customHeight="1" spans="1:24">
      <c r="A25" s="11" t="s">
        <v>81</v>
      </c>
      <c r="B25" s="11" t="s">
        <v>82</v>
      </c>
      <c r="C25" s="11" t="s">
        <v>83</v>
      </c>
      <c r="D25" s="26">
        <v>23000.42</v>
      </c>
      <c r="E25" s="21">
        <v>549010.17</v>
      </c>
      <c r="F25" s="14">
        <v>8</v>
      </c>
      <c r="G25" s="14">
        <v>8</v>
      </c>
      <c r="H25" s="17">
        <v>8</v>
      </c>
      <c r="I25" s="27">
        <v>411471</v>
      </c>
      <c r="J25" s="27">
        <v>137539.17</v>
      </c>
      <c r="K25" s="23">
        <f t="shared" si="5"/>
        <v>51433.875</v>
      </c>
      <c r="L25" s="23">
        <f t="shared" si="6"/>
        <v>2875.0525</v>
      </c>
      <c r="M25" s="23">
        <f t="shared" si="7"/>
        <v>23.8695715121724</v>
      </c>
      <c r="W25" s="52">
        <f t="shared" si="8"/>
        <v>2875.0525</v>
      </c>
      <c r="X25" s="45">
        <f t="shared" si="9"/>
        <v>2875.0525</v>
      </c>
    </row>
    <row r="26" s="1" customFormat="1" customHeight="1" spans="1:24">
      <c r="A26" s="11" t="s">
        <v>75</v>
      </c>
      <c r="B26" s="11" t="s">
        <v>82</v>
      </c>
      <c r="C26" s="11" t="s">
        <v>84</v>
      </c>
      <c r="D26" s="26">
        <v>22068.71</v>
      </c>
      <c r="E26" s="23">
        <v>609600</v>
      </c>
      <c r="F26" s="14">
        <v>10</v>
      </c>
      <c r="G26" s="14">
        <v>10</v>
      </c>
      <c r="H26" s="17">
        <v>10</v>
      </c>
      <c r="I26" s="27">
        <v>555189.3</v>
      </c>
      <c r="J26" s="27">
        <v>54410.7</v>
      </c>
      <c r="K26" s="23">
        <f t="shared" si="5"/>
        <v>55518.93</v>
      </c>
      <c r="L26" s="23">
        <f t="shared" si="6"/>
        <v>2206.871</v>
      </c>
      <c r="M26" s="23">
        <f t="shared" si="7"/>
        <v>27.6228198204607</v>
      </c>
      <c r="W26" s="52">
        <f t="shared" si="8"/>
        <v>2206.871</v>
      </c>
      <c r="X26" s="45">
        <f t="shared" si="9"/>
        <v>2206.871</v>
      </c>
    </row>
    <row r="27" s="1" customFormat="1" customHeight="1" spans="1:24">
      <c r="A27" s="11" t="s">
        <v>69</v>
      </c>
      <c r="B27" s="11" t="s">
        <v>87</v>
      </c>
      <c r="C27" s="11" t="s">
        <v>88</v>
      </c>
      <c r="D27" s="26">
        <v>16706.14</v>
      </c>
      <c r="E27" s="23">
        <v>465925.391040592</v>
      </c>
      <c r="F27" s="14">
        <v>8</v>
      </c>
      <c r="G27" s="14">
        <v>8</v>
      </c>
      <c r="H27" s="17">
        <v>8</v>
      </c>
      <c r="I27" s="27">
        <v>445995.200568509</v>
      </c>
      <c r="J27" s="27">
        <v>19930.1904720825</v>
      </c>
      <c r="K27" s="23">
        <f t="shared" si="5"/>
        <v>55749.4000710636</v>
      </c>
      <c r="L27" s="23">
        <f t="shared" si="6"/>
        <v>2088.2675</v>
      </c>
      <c r="M27" s="23">
        <f t="shared" si="7"/>
        <v>27.889470041589</v>
      </c>
      <c r="W27" s="52">
        <f t="shared" si="8"/>
        <v>2088.2675</v>
      </c>
      <c r="X27" s="45">
        <f t="shared" si="9"/>
        <v>2088.2675</v>
      </c>
    </row>
    <row r="28" s="1" customFormat="1" customHeight="1" spans="1:24">
      <c r="A28" s="22" t="s">
        <v>38</v>
      </c>
      <c r="B28" s="22" t="s">
        <v>58</v>
      </c>
      <c r="C28" s="11" t="s">
        <v>89</v>
      </c>
      <c r="D28" s="26">
        <v>14987.06</v>
      </c>
      <c r="E28" s="23">
        <v>320343.993636364</v>
      </c>
      <c r="F28" s="14">
        <v>8</v>
      </c>
      <c r="G28" s="14">
        <v>8</v>
      </c>
      <c r="H28" s="17">
        <v>8</v>
      </c>
      <c r="I28" s="23">
        <f>834351/22*8</f>
        <v>303400.363636364</v>
      </c>
      <c r="J28" s="23">
        <v>6161.45454545455</v>
      </c>
      <c r="K28" s="23"/>
      <c r="L28" s="23"/>
      <c r="M28" s="23"/>
      <c r="W28" s="52"/>
      <c r="X28" s="45"/>
    </row>
    <row r="29" s="1" customFormat="1" customHeight="1" spans="1:24">
      <c r="A29" s="11" t="s">
        <v>49</v>
      </c>
      <c r="B29" s="11" t="s">
        <v>90</v>
      </c>
      <c r="C29" s="11" t="s">
        <v>91</v>
      </c>
      <c r="D29" s="26">
        <v>11624.55</v>
      </c>
      <c r="E29" s="23">
        <v>279399.5</v>
      </c>
      <c r="F29" s="14">
        <v>5</v>
      </c>
      <c r="G29" s="14">
        <v>5</v>
      </c>
      <c r="H29" s="17">
        <v>5</v>
      </c>
      <c r="I29" s="27">
        <v>275200</v>
      </c>
      <c r="J29" s="27">
        <v>4200</v>
      </c>
      <c r="K29" s="23">
        <f t="shared" ref="K29:K31" si="10">I29/H29</f>
        <v>55040</v>
      </c>
      <c r="L29" s="23">
        <f t="shared" ref="L29:L31" si="11">D29/H29</f>
        <v>2324.91</v>
      </c>
      <c r="M29" s="23">
        <f t="shared" ref="M29:M31" si="12">E29/D29</f>
        <v>24.0352959899523</v>
      </c>
      <c r="W29" s="52">
        <f t="shared" ref="W29:W31" si="13">D29/F29</f>
        <v>2324.91</v>
      </c>
      <c r="X29" s="45">
        <f t="shared" ref="X29:X31" si="14">D29/G29</f>
        <v>2324.91</v>
      </c>
    </row>
    <row r="30" s="1" customFormat="1" customHeight="1" spans="1:24">
      <c r="A30" s="11" t="s">
        <v>92</v>
      </c>
      <c r="B30" s="11" t="s">
        <v>93</v>
      </c>
      <c r="C30" s="11" t="s">
        <v>94</v>
      </c>
      <c r="D30" s="26">
        <v>7614.37</v>
      </c>
      <c r="E30" s="16">
        <v>242085</v>
      </c>
      <c r="F30" s="14">
        <v>3</v>
      </c>
      <c r="G30" s="14">
        <v>3</v>
      </c>
      <c r="H30" s="17">
        <v>3</v>
      </c>
      <c r="I30" s="37">
        <f>242085*0.8</f>
        <v>193668</v>
      </c>
      <c r="J30" s="37">
        <v>48417</v>
      </c>
      <c r="K30" s="23">
        <f t="shared" si="10"/>
        <v>64556</v>
      </c>
      <c r="L30" s="23">
        <f t="shared" si="11"/>
        <v>2538.12333333333</v>
      </c>
      <c r="M30" s="23">
        <f t="shared" si="12"/>
        <v>31.7931752725439</v>
      </c>
      <c r="W30" s="52">
        <f t="shared" si="13"/>
        <v>2538.12333333333</v>
      </c>
      <c r="X30" s="45">
        <f t="shared" si="14"/>
        <v>2538.12333333333</v>
      </c>
    </row>
    <row r="31" s="1" customFormat="1" customHeight="1" spans="1:24">
      <c r="A31" s="11" t="s">
        <v>78</v>
      </c>
      <c r="B31" s="11" t="s">
        <v>42</v>
      </c>
      <c r="C31" s="11" t="s">
        <v>95</v>
      </c>
      <c r="D31" s="26">
        <v>6966</v>
      </c>
      <c r="E31" s="23">
        <v>189221.538461539</v>
      </c>
      <c r="F31" s="14">
        <v>3</v>
      </c>
      <c r="G31" s="14">
        <v>3</v>
      </c>
      <c r="H31" s="17">
        <v>3</v>
      </c>
      <c r="I31" s="27">
        <v>183247.384615385</v>
      </c>
      <c r="J31" s="48">
        <v>57732.6817065713</v>
      </c>
      <c r="K31" s="23">
        <f t="shared" si="10"/>
        <v>61082.4615384617</v>
      </c>
      <c r="L31" s="23">
        <f t="shared" si="11"/>
        <v>2322</v>
      </c>
      <c r="M31" s="23">
        <f t="shared" si="12"/>
        <v>27.163585768237</v>
      </c>
      <c r="W31" s="52">
        <f t="shared" si="13"/>
        <v>2322</v>
      </c>
      <c r="X31" s="45">
        <f t="shared" si="14"/>
        <v>2322</v>
      </c>
    </row>
    <row r="32" s="1" customFormat="1" customHeight="1" spans="1:24">
      <c r="A32" s="22" t="s">
        <v>38</v>
      </c>
      <c r="B32" s="22" t="s">
        <v>42</v>
      </c>
      <c r="C32" s="11" t="s">
        <v>96</v>
      </c>
      <c r="D32" s="26">
        <v>1748.4</v>
      </c>
      <c r="E32" s="23">
        <f>834351/22*4</f>
        <v>151700.181818182</v>
      </c>
      <c r="F32" s="14">
        <v>4</v>
      </c>
      <c r="G32" s="14">
        <v>4</v>
      </c>
      <c r="H32" s="17">
        <v>4</v>
      </c>
      <c r="I32" s="23">
        <f>834351/22*4</f>
        <v>151700.181818182</v>
      </c>
      <c r="J32" s="23"/>
      <c r="K32" s="23"/>
      <c r="L32" s="23"/>
      <c r="M32" s="23"/>
      <c r="W32" s="52"/>
      <c r="X32" s="45"/>
    </row>
    <row r="33" s="1" customFormat="1" customHeight="1" spans="6:24">
      <c r="F33" s="3"/>
      <c r="G33" s="3"/>
      <c r="H33" s="3"/>
      <c r="W33" s="52"/>
      <c r="X33" s="45"/>
    </row>
    <row r="36" s="1" customFormat="1" customHeight="1" spans="1:8">
      <c r="A36" s="33" t="s">
        <v>97</v>
      </c>
      <c r="B36" s="34"/>
      <c r="C36" s="34"/>
      <c r="D36" s="34"/>
      <c r="F36" s="3"/>
      <c r="G36" s="3"/>
      <c r="H36" s="3"/>
    </row>
    <row r="37" s="1" customFormat="1" customHeight="1" spans="1:8">
      <c r="A37" s="34"/>
      <c r="B37" s="34"/>
      <c r="C37" s="34"/>
      <c r="D37" s="34"/>
      <c r="F37" s="3"/>
      <c r="G37" s="3"/>
      <c r="H37" s="3"/>
    </row>
    <row r="38" s="1" customFormat="1" customHeight="1" spans="1:8">
      <c r="A38" s="34"/>
      <c r="B38" s="34"/>
      <c r="C38" s="34"/>
      <c r="D38" s="34"/>
      <c r="F38" s="3"/>
      <c r="G38" s="3"/>
      <c r="H38" s="3"/>
    </row>
    <row r="39" s="1" customFormat="1" customHeight="1" spans="1:8">
      <c r="A39" s="34"/>
      <c r="B39" s="34"/>
      <c r="C39" s="34"/>
      <c r="D39" s="34"/>
      <c r="F39" s="3"/>
      <c r="G39" s="3"/>
      <c r="H39" s="3"/>
    </row>
    <row r="40" s="1" customFormat="1" customHeight="1" spans="1:8">
      <c r="A40" s="34"/>
      <c r="B40" s="34"/>
      <c r="C40" s="34"/>
      <c r="D40" s="34"/>
      <c r="F40" s="3"/>
      <c r="G40" s="3"/>
      <c r="H40" s="3"/>
    </row>
    <row r="41" s="1" customFormat="1" customHeight="1" spans="1:8">
      <c r="A41" s="34"/>
      <c r="B41" s="34"/>
      <c r="C41" s="34"/>
      <c r="D41" s="34"/>
      <c r="F41" s="3"/>
      <c r="G41" s="3"/>
      <c r="H41" s="3"/>
    </row>
    <row r="42" s="1" customFormat="1" customHeight="1" spans="1:8">
      <c r="A42" s="34"/>
      <c r="B42" s="34"/>
      <c r="C42" s="34"/>
      <c r="D42" s="34"/>
      <c r="F42" s="3"/>
      <c r="G42" s="3"/>
      <c r="H42" s="3"/>
    </row>
    <row r="43" s="1" customFormat="1" customHeight="1" spans="1:8">
      <c r="A43" s="34"/>
      <c r="B43" s="34"/>
      <c r="C43" s="34"/>
      <c r="D43" s="34"/>
      <c r="F43" s="3"/>
      <c r="G43" s="3"/>
      <c r="H43" s="3"/>
    </row>
    <row r="44" s="1" customFormat="1" customHeight="1" spans="1:8">
      <c r="A44" s="34"/>
      <c r="B44" s="34"/>
      <c r="C44" s="34"/>
      <c r="D44" s="34"/>
      <c r="F44" s="3"/>
      <c r="G44" s="3"/>
      <c r="H44" s="3"/>
    </row>
    <row r="45" s="1" customFormat="1" customHeight="1" spans="1:8">
      <c r="A45" s="34"/>
      <c r="B45" s="34"/>
      <c r="C45" s="34"/>
      <c r="D45" s="34"/>
      <c r="F45" s="3"/>
      <c r="G45" s="3"/>
      <c r="H45" s="3"/>
    </row>
    <row r="46" s="1" customFormat="1" customHeight="1" spans="1:8">
      <c r="A46" s="34"/>
      <c r="B46" s="34"/>
      <c r="C46" s="34"/>
      <c r="D46" s="34"/>
      <c r="F46" s="3"/>
      <c r="G46" s="3"/>
      <c r="H46" s="3"/>
    </row>
    <row r="47" s="1" customFormat="1" customHeight="1" spans="1:8">
      <c r="A47" s="34"/>
      <c r="B47" s="34"/>
      <c r="C47" s="34"/>
      <c r="D47" s="34"/>
      <c r="F47" s="3"/>
      <c r="G47" s="3"/>
      <c r="H47" s="3"/>
    </row>
  </sheetData>
  <mergeCells count="1">
    <mergeCell ref="A36:D47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7"/>
  <sheetViews>
    <sheetView workbookViewId="0">
      <selection activeCell="A1" sqref="$A1:$XFD1048576"/>
    </sheetView>
  </sheetViews>
  <sheetFormatPr defaultColWidth="9" defaultRowHeight="37" customHeight="1"/>
  <cols>
    <col min="1" max="1" width="12.4513274336283" style="1" customWidth="1"/>
    <col min="2" max="2" width="9" style="1"/>
    <col min="3" max="3" width="19.4513274336283" style="1" customWidth="1"/>
    <col min="4" max="4" width="11.4513274336283" style="1" customWidth="1"/>
    <col min="5" max="5" width="15.1858407079646" style="1"/>
    <col min="6" max="6" width="9" style="3"/>
    <col min="7" max="7" width="15.4513274336283" style="3" customWidth="1"/>
    <col min="8" max="8" width="9" style="3"/>
    <col min="9" max="9" width="15.1858407079646" style="1"/>
    <col min="10" max="10" width="11.3628318584071" style="1" customWidth="1"/>
    <col min="11" max="11" width="10.7256637168142" style="1" customWidth="1"/>
    <col min="12" max="12" width="11.2743362831858" style="1" customWidth="1"/>
    <col min="13" max="13" width="10.8141592920354" style="1" customWidth="1"/>
    <col min="14" max="14" width="9" style="1" customWidth="1"/>
    <col min="15" max="16" width="11.9115044247788" style="1" customWidth="1"/>
    <col min="17" max="17" width="13" style="1" customWidth="1"/>
    <col min="18" max="18" width="9" style="1" customWidth="1"/>
    <col min="19" max="20" width="11.9115044247788" style="1" customWidth="1"/>
    <col min="21" max="21" width="12.1858407079646" style="1" customWidth="1"/>
    <col min="22" max="22" width="9" style="1" customWidth="1"/>
    <col min="23" max="23" width="14.3628318584071" style="1" customWidth="1"/>
    <col min="24" max="24" width="15.2743362831858" style="1" customWidth="1"/>
    <col min="25" max="16384" width="9" style="1"/>
  </cols>
  <sheetData>
    <row r="1" s="1" customFormat="1" ht="22" customHeight="1" spans="1:13">
      <c r="A1" s="4"/>
      <c r="B1" s="4"/>
      <c r="C1" s="4"/>
      <c r="D1" s="4"/>
      <c r="E1" s="4">
        <v>2024</v>
      </c>
      <c r="F1" s="5"/>
      <c r="G1" s="5"/>
      <c r="H1" s="5"/>
      <c r="I1" s="4"/>
      <c r="J1" s="4"/>
      <c r="K1" s="4"/>
      <c r="L1" s="4"/>
      <c r="M1" s="4"/>
    </row>
    <row r="2" s="2" customFormat="1" ht="33" customHeight="1" spans="1:24">
      <c r="A2" s="6" t="s">
        <v>99</v>
      </c>
      <c r="B2" s="7" t="s">
        <v>1</v>
      </c>
      <c r="C2" s="8" t="s">
        <v>2</v>
      </c>
      <c r="D2" s="7" t="s">
        <v>3</v>
      </c>
      <c r="E2" s="7" t="s">
        <v>106</v>
      </c>
      <c r="F2" s="9" t="s">
        <v>5</v>
      </c>
      <c r="G2" s="9" t="s">
        <v>6</v>
      </c>
      <c r="H2" s="10" t="s">
        <v>7</v>
      </c>
      <c r="I2" s="35" t="s">
        <v>8</v>
      </c>
      <c r="J2" s="35" t="s">
        <v>9</v>
      </c>
      <c r="K2" s="35" t="s">
        <v>10</v>
      </c>
      <c r="L2" s="36" t="s">
        <v>11</v>
      </c>
      <c r="M2" s="36" t="s">
        <v>12</v>
      </c>
      <c r="W2" s="38" t="s">
        <v>101</v>
      </c>
      <c r="X2" s="38" t="s">
        <v>102</v>
      </c>
    </row>
    <row r="3" s="1" customFormat="1" ht="27" customHeight="1" spans="1:24">
      <c r="A3" s="11" t="s">
        <v>15</v>
      </c>
      <c r="B3" s="11" t="s">
        <v>16</v>
      </c>
      <c r="C3" s="11" t="s">
        <v>17</v>
      </c>
      <c r="D3" s="12">
        <v>81600</v>
      </c>
      <c r="E3" s="13">
        <v>1396284</v>
      </c>
      <c r="F3" s="14">
        <v>26</v>
      </c>
      <c r="G3" s="14">
        <v>24</v>
      </c>
      <c r="H3" s="15">
        <v>26</v>
      </c>
      <c r="I3" s="23">
        <v>1370592</v>
      </c>
      <c r="J3" s="23">
        <v>25692</v>
      </c>
      <c r="K3" s="23">
        <f t="shared" ref="K3:K8" si="0">I3/H3</f>
        <v>52715.0769230769</v>
      </c>
      <c r="L3" s="23">
        <f t="shared" ref="L3:L8" si="1">D3/H3</f>
        <v>3138.46153846154</v>
      </c>
      <c r="M3" s="23">
        <f t="shared" ref="M3:M8" si="2">E3/D3</f>
        <v>17.1113235294118</v>
      </c>
      <c r="W3" s="49">
        <f t="shared" ref="W3:W8" si="3">D3/F3</f>
        <v>3138.46153846154</v>
      </c>
      <c r="X3" s="50">
        <f t="shared" ref="X3:X8" si="4">D3/G3</f>
        <v>3400</v>
      </c>
    </row>
    <row r="4" s="1" customFormat="1" ht="30" customHeight="1" spans="1:24">
      <c r="A4" s="11" t="s">
        <v>18</v>
      </c>
      <c r="B4" s="11" t="s">
        <v>19</v>
      </c>
      <c r="C4" s="11" t="s">
        <v>20</v>
      </c>
      <c r="D4" s="12">
        <v>70954.83</v>
      </c>
      <c r="E4" s="16">
        <v>1278788.61624044</v>
      </c>
      <c r="F4" s="14">
        <v>24</v>
      </c>
      <c r="G4" s="14">
        <v>24</v>
      </c>
      <c r="H4" s="17">
        <v>24</v>
      </c>
      <c r="I4" s="37">
        <v>1278788.61624044</v>
      </c>
      <c r="J4" s="23"/>
      <c r="K4" s="23">
        <f t="shared" si="0"/>
        <v>53282.8590100183</v>
      </c>
      <c r="L4" s="23">
        <f t="shared" si="1"/>
        <v>2956.45125</v>
      </c>
      <c r="M4" s="23">
        <f t="shared" si="2"/>
        <v>18.0225731812822</v>
      </c>
      <c r="W4" s="49">
        <f t="shared" si="3"/>
        <v>2956.45125</v>
      </c>
      <c r="X4" s="50">
        <f t="shared" si="4"/>
        <v>2956.45125</v>
      </c>
    </row>
    <row r="5" s="1" customFormat="1" customHeight="1" spans="1:24">
      <c r="A5" s="11" t="s">
        <v>103</v>
      </c>
      <c r="B5" s="18" t="s">
        <v>24</v>
      </c>
      <c r="C5" s="19" t="s">
        <v>25</v>
      </c>
      <c r="D5" s="12">
        <v>52286</v>
      </c>
      <c r="E5" s="13">
        <v>1354082</v>
      </c>
      <c r="F5" s="14">
        <v>19</v>
      </c>
      <c r="G5" s="14">
        <v>19</v>
      </c>
      <c r="H5" s="17">
        <v>19</v>
      </c>
      <c r="I5" s="37">
        <v>1012240</v>
      </c>
      <c r="J5" s="37">
        <v>341842</v>
      </c>
      <c r="K5" s="23">
        <f t="shared" si="0"/>
        <v>53275.7894736842</v>
      </c>
      <c r="L5" s="23">
        <f t="shared" si="1"/>
        <v>2751.89473684211</v>
      </c>
      <c r="M5" s="23">
        <f t="shared" si="2"/>
        <v>25.89760165245</v>
      </c>
      <c r="N5" s="1" t="s">
        <v>21</v>
      </c>
      <c r="P5" s="38" t="s">
        <v>101</v>
      </c>
      <c r="Q5" s="38" t="s">
        <v>102</v>
      </c>
      <c r="S5" s="1" t="s">
        <v>22</v>
      </c>
      <c r="T5" s="38" t="s">
        <v>101</v>
      </c>
      <c r="U5" s="38" t="s">
        <v>102</v>
      </c>
      <c r="W5" s="49">
        <f t="shared" si="3"/>
        <v>2751.89473684211</v>
      </c>
      <c r="X5" s="50">
        <f t="shared" si="4"/>
        <v>2751.89473684211</v>
      </c>
    </row>
    <row r="6" s="1" customFormat="1" customHeight="1" spans="1:24">
      <c r="A6" s="20" t="s">
        <v>27</v>
      </c>
      <c r="B6" s="11" t="s">
        <v>28</v>
      </c>
      <c r="C6" s="11" t="s">
        <v>29</v>
      </c>
      <c r="D6" s="12">
        <v>51859.87</v>
      </c>
      <c r="E6" s="16">
        <v>3031962.58</v>
      </c>
      <c r="F6" s="14">
        <v>27</v>
      </c>
      <c r="G6" s="14">
        <v>27</v>
      </c>
      <c r="H6" s="17">
        <v>52</v>
      </c>
      <c r="I6" s="37">
        <v>2951962.58</v>
      </c>
      <c r="J6" s="37">
        <v>80000</v>
      </c>
      <c r="K6" s="23"/>
      <c r="L6" s="23"/>
      <c r="M6" s="23"/>
      <c r="N6" s="39" t="s">
        <v>26</v>
      </c>
      <c r="O6" s="40">
        <f>AVERAGE(L3:L14)</f>
        <v>2531.69386767343</v>
      </c>
      <c r="P6" s="41">
        <f>AVERAGE(W3:W14)</f>
        <v>2531.69386767343</v>
      </c>
      <c r="Q6" s="41">
        <f>AVERAGE(X3:X14)</f>
        <v>2624.91112601536</v>
      </c>
      <c r="S6" s="40">
        <f>AVERAGE(L3:L15)</f>
        <v>2415.81351606676</v>
      </c>
      <c r="T6" s="45">
        <f>AVERAGE(W3:W15)</f>
        <v>2415.81351606676</v>
      </c>
      <c r="U6" s="45">
        <f>AVERAGE(X3:X15)</f>
        <v>2500.55647819578</v>
      </c>
      <c r="W6" s="49"/>
      <c r="X6" s="50"/>
    </row>
    <row r="7" s="1" customFormat="1" customHeight="1" spans="1:24">
      <c r="A7" s="11" t="s">
        <v>31</v>
      </c>
      <c r="B7" s="11" t="s">
        <v>32</v>
      </c>
      <c r="C7" s="11" t="s">
        <v>33</v>
      </c>
      <c r="D7" s="12">
        <v>45904.61</v>
      </c>
      <c r="E7" s="21">
        <v>2055770.07</v>
      </c>
      <c r="F7" s="14">
        <v>23</v>
      </c>
      <c r="G7" s="14">
        <v>21</v>
      </c>
      <c r="H7" s="17">
        <v>23</v>
      </c>
      <c r="I7" s="27">
        <v>1993265.07</v>
      </c>
      <c r="J7" s="27">
        <v>62505</v>
      </c>
      <c r="K7" s="23">
        <f t="shared" si="0"/>
        <v>86663.6986956522</v>
      </c>
      <c r="L7" s="23">
        <f t="shared" si="1"/>
        <v>1995.85260869565</v>
      </c>
      <c r="M7" s="23">
        <f t="shared" si="2"/>
        <v>44.7835210886227</v>
      </c>
      <c r="N7" s="39" t="s">
        <v>30</v>
      </c>
      <c r="O7" s="42">
        <f>AVERAGE(K3:K7,K8:K10,K12:K14)</f>
        <v>60568.7380298998</v>
      </c>
      <c r="S7" s="1">
        <v>5.87</v>
      </c>
      <c r="W7" s="49">
        <f t="shared" si="3"/>
        <v>1995.85260869565</v>
      </c>
      <c r="X7" s="50">
        <f t="shared" si="4"/>
        <v>2185.93380952381</v>
      </c>
    </row>
    <row r="8" s="1" customFormat="1" customHeight="1" spans="1:24">
      <c r="A8" s="11" t="s">
        <v>35</v>
      </c>
      <c r="B8" s="11" t="s">
        <v>36</v>
      </c>
      <c r="C8" s="11" t="s">
        <v>37</v>
      </c>
      <c r="D8" s="12">
        <v>44485.68</v>
      </c>
      <c r="E8" s="21">
        <v>1255084.8</v>
      </c>
      <c r="F8" s="14">
        <v>20</v>
      </c>
      <c r="G8" s="14">
        <v>20</v>
      </c>
      <c r="H8" s="17">
        <v>20</v>
      </c>
      <c r="I8" s="27">
        <v>1255084.8</v>
      </c>
      <c r="J8" s="23"/>
      <c r="K8" s="23">
        <f t="shared" si="0"/>
        <v>62754.24</v>
      </c>
      <c r="L8" s="23">
        <f t="shared" si="1"/>
        <v>2224.284</v>
      </c>
      <c r="M8" s="23">
        <f t="shared" si="2"/>
        <v>28.2132317635698</v>
      </c>
      <c r="N8" s="39" t="s">
        <v>34</v>
      </c>
      <c r="O8" s="1">
        <v>26.43</v>
      </c>
      <c r="S8" s="51">
        <v>28.96</v>
      </c>
      <c r="T8" s="51"/>
      <c r="U8" s="51"/>
      <c r="V8" s="51"/>
      <c r="W8" s="49">
        <f t="shared" si="3"/>
        <v>2224.284</v>
      </c>
      <c r="X8" s="50">
        <f t="shared" si="4"/>
        <v>2224.284</v>
      </c>
    </row>
    <row r="9" s="1" customFormat="1" customHeight="1" spans="1:24">
      <c r="A9" s="22" t="s">
        <v>38</v>
      </c>
      <c r="B9" s="22" t="s">
        <v>39</v>
      </c>
      <c r="C9" s="11" t="s">
        <v>40</v>
      </c>
      <c r="D9" s="12">
        <v>43229.29</v>
      </c>
      <c r="E9" s="23">
        <v>379250.454545455</v>
      </c>
      <c r="F9" s="14">
        <v>10</v>
      </c>
      <c r="G9" s="14">
        <v>10</v>
      </c>
      <c r="H9" s="17">
        <v>10</v>
      </c>
      <c r="I9" s="23">
        <f>834351/22*10</f>
        <v>379250.454545455</v>
      </c>
      <c r="J9" s="23"/>
      <c r="K9" s="23"/>
      <c r="L9" s="23"/>
      <c r="M9" s="23"/>
      <c r="O9" s="43">
        <f>AVERAGE(K3:K14)</f>
        <v>58696.2891499868</v>
      </c>
      <c r="W9" s="49"/>
      <c r="X9" s="50"/>
    </row>
    <row r="10" s="1" customFormat="1" customHeight="1" spans="1:24">
      <c r="A10" s="11" t="s">
        <v>41</v>
      </c>
      <c r="B10" s="11" t="s">
        <v>42</v>
      </c>
      <c r="C10" s="11" t="s">
        <v>43</v>
      </c>
      <c r="D10" s="12">
        <v>40480.99</v>
      </c>
      <c r="E10" s="23">
        <v>1299993.55</v>
      </c>
      <c r="F10" s="14">
        <v>20</v>
      </c>
      <c r="G10" s="14">
        <v>19</v>
      </c>
      <c r="H10" s="17">
        <v>20</v>
      </c>
      <c r="I10" s="16">
        <v>1201538.55</v>
      </c>
      <c r="J10" s="16">
        <v>98455</v>
      </c>
      <c r="K10" s="23">
        <f t="shared" ref="K10:K27" si="5">I10/H10</f>
        <v>60076.9275</v>
      </c>
      <c r="L10" s="23">
        <f t="shared" ref="L10:L27" si="6">D10/H10</f>
        <v>2024.0495</v>
      </c>
      <c r="M10" s="23">
        <f t="shared" ref="M10:M27" si="7">E10/D10</f>
        <v>32.1136797790766</v>
      </c>
      <c r="W10" s="49">
        <f t="shared" ref="W10:W27" si="8">D10/F10</f>
        <v>2024.0495</v>
      </c>
      <c r="X10" s="50">
        <f t="shared" ref="X10:X27" si="9">D10/G10</f>
        <v>2130.57842105263</v>
      </c>
    </row>
    <row r="11" s="1" customFormat="1" customHeight="1" spans="1:24">
      <c r="A11" s="11" t="s">
        <v>44</v>
      </c>
      <c r="B11" s="11"/>
      <c r="C11" s="24" t="s">
        <v>45</v>
      </c>
      <c r="D11" s="12">
        <v>40127.7</v>
      </c>
      <c r="E11" s="16">
        <v>543975.24</v>
      </c>
      <c r="F11" s="14">
        <v>13</v>
      </c>
      <c r="G11" s="14">
        <v>13</v>
      </c>
      <c r="H11" s="17">
        <v>13</v>
      </c>
      <c r="I11" s="27">
        <v>543975.24</v>
      </c>
      <c r="J11" s="23"/>
      <c r="K11" s="44">
        <f t="shared" si="5"/>
        <v>41844.2492307692</v>
      </c>
      <c r="L11" s="23">
        <f t="shared" si="6"/>
        <v>3086.74615384615</v>
      </c>
      <c r="M11" s="23">
        <f t="shared" si="7"/>
        <v>13.5561031407232</v>
      </c>
      <c r="W11" s="49">
        <f t="shared" si="8"/>
        <v>3086.74615384615</v>
      </c>
      <c r="X11" s="50">
        <f t="shared" si="9"/>
        <v>3086.74615384615</v>
      </c>
    </row>
    <row r="12" s="1" customFormat="1" customHeight="1" spans="1:24">
      <c r="A12" s="11" t="s">
        <v>46</v>
      </c>
      <c r="B12" s="11" t="s">
        <v>47</v>
      </c>
      <c r="C12" s="11" t="s">
        <v>48</v>
      </c>
      <c r="D12" s="12">
        <v>39325.6</v>
      </c>
      <c r="E12" s="25">
        <v>961632</v>
      </c>
      <c r="F12" s="14">
        <v>18</v>
      </c>
      <c r="G12" s="14">
        <v>18</v>
      </c>
      <c r="H12" s="17">
        <v>18</v>
      </c>
      <c r="I12" s="27">
        <v>961632</v>
      </c>
      <c r="J12" s="23"/>
      <c r="K12" s="23">
        <f t="shared" si="5"/>
        <v>53424</v>
      </c>
      <c r="L12" s="23">
        <f t="shared" si="6"/>
        <v>2184.75555555556</v>
      </c>
      <c r="M12" s="23">
        <f t="shared" si="7"/>
        <v>24.4530789104298</v>
      </c>
      <c r="W12" s="49">
        <f t="shared" si="8"/>
        <v>2184.75555555556</v>
      </c>
      <c r="X12" s="50">
        <f t="shared" si="9"/>
        <v>2184.75555555556</v>
      </c>
    </row>
    <row r="13" s="1" customFormat="1" customHeight="1" spans="1:24">
      <c r="A13" s="11" t="s">
        <v>49</v>
      </c>
      <c r="B13" s="11" t="s">
        <v>42</v>
      </c>
      <c r="C13" s="11" t="s">
        <v>50</v>
      </c>
      <c r="D13" s="12">
        <v>37849.31</v>
      </c>
      <c r="E13" s="23">
        <v>838198.5</v>
      </c>
      <c r="F13" s="14">
        <v>15</v>
      </c>
      <c r="G13" s="14">
        <v>15</v>
      </c>
      <c r="H13" s="17">
        <v>15</v>
      </c>
      <c r="I13" s="27">
        <v>825700</v>
      </c>
      <c r="J13" s="27">
        <v>12500</v>
      </c>
      <c r="K13" s="23">
        <f t="shared" si="5"/>
        <v>55046.6666666667</v>
      </c>
      <c r="L13" s="23">
        <f t="shared" si="6"/>
        <v>2523.28733333333</v>
      </c>
      <c r="M13" s="23">
        <f t="shared" si="7"/>
        <v>22.1456745182409</v>
      </c>
      <c r="W13" s="49">
        <f t="shared" si="8"/>
        <v>2523.28733333333</v>
      </c>
      <c r="X13" s="50">
        <f t="shared" si="9"/>
        <v>2523.28733333333</v>
      </c>
    </row>
    <row r="14" s="1" customFormat="1" customHeight="1" spans="1:24">
      <c r="A14" s="11" t="s">
        <v>51</v>
      </c>
      <c r="B14" s="11" t="s">
        <v>52</v>
      </c>
      <c r="C14" s="11" t="s">
        <v>53</v>
      </c>
      <c r="D14" s="12">
        <v>36467.34</v>
      </c>
      <c r="E14" s="13">
        <v>1385738.76</v>
      </c>
      <c r="F14" s="14">
        <v>15</v>
      </c>
      <c r="G14" s="14">
        <v>13</v>
      </c>
      <c r="H14" s="17">
        <v>15</v>
      </c>
      <c r="I14" s="27">
        <v>1018190.76</v>
      </c>
      <c r="J14" s="27">
        <v>367548</v>
      </c>
      <c r="K14" s="23">
        <f t="shared" si="5"/>
        <v>67879.384</v>
      </c>
      <c r="L14" s="23">
        <f t="shared" si="6"/>
        <v>2431.156</v>
      </c>
      <c r="M14" s="23">
        <f t="shared" si="7"/>
        <v>37.9994471765695</v>
      </c>
      <c r="W14" s="49">
        <f t="shared" si="8"/>
        <v>2431.156</v>
      </c>
      <c r="X14" s="50">
        <f t="shared" si="9"/>
        <v>2805.18</v>
      </c>
    </row>
    <row r="15" s="1" customFormat="1" customHeight="1" spans="1:24">
      <c r="A15" s="11" t="s">
        <v>54</v>
      </c>
      <c r="B15" s="11" t="s">
        <v>55</v>
      </c>
      <c r="C15" s="11" t="s">
        <v>56</v>
      </c>
      <c r="D15" s="26">
        <v>35196.28</v>
      </c>
      <c r="E15" s="16">
        <v>1909044</v>
      </c>
      <c r="F15" s="14">
        <v>28</v>
      </c>
      <c r="G15" s="14">
        <v>28</v>
      </c>
      <c r="H15" s="17">
        <v>28</v>
      </c>
      <c r="I15" s="27">
        <f>1885044/32*28</f>
        <v>1649413.5</v>
      </c>
      <c r="J15" s="27">
        <v>24000</v>
      </c>
      <c r="K15" s="23">
        <f t="shared" si="5"/>
        <v>58907.625</v>
      </c>
      <c r="L15" s="23">
        <f t="shared" si="6"/>
        <v>1257.01</v>
      </c>
      <c r="M15" s="23">
        <f t="shared" si="7"/>
        <v>54.2399367205852</v>
      </c>
      <c r="N15" s="39" t="s">
        <v>26</v>
      </c>
      <c r="O15" s="40">
        <f>AVERAGE(L15:L31)</f>
        <v>2211.94092637311</v>
      </c>
      <c r="P15" s="45">
        <f>AVERAGE(W15:W31)</f>
        <v>2237.21737496536</v>
      </c>
      <c r="Q15" s="45">
        <f>AVERAGE(X15:X31)</f>
        <v>2262.97755321134</v>
      </c>
      <c r="S15" s="40">
        <f>AVERAGE(L16:L31)</f>
        <v>2275.60298813131</v>
      </c>
      <c r="T15" s="45">
        <f>AVERAGE(W16:W31)</f>
        <v>2302.56453329639</v>
      </c>
      <c r="U15" s="45">
        <f>AVERAGE(X16:X31)</f>
        <v>2330.04205675876</v>
      </c>
      <c r="W15" s="52">
        <f t="shared" si="8"/>
        <v>1257.01</v>
      </c>
      <c r="X15" s="45">
        <f t="shared" si="9"/>
        <v>1257.01</v>
      </c>
    </row>
    <row r="16" s="1" customFormat="1" customHeight="1" spans="1:24">
      <c r="A16" s="11" t="s">
        <v>57</v>
      </c>
      <c r="B16" s="11" t="s">
        <v>58</v>
      </c>
      <c r="C16" s="11" t="s">
        <v>59</v>
      </c>
      <c r="D16" s="26">
        <v>34541</v>
      </c>
      <c r="E16" s="27">
        <v>1130686</v>
      </c>
      <c r="F16" s="14">
        <v>18</v>
      </c>
      <c r="G16" s="14">
        <v>17</v>
      </c>
      <c r="H16" s="17">
        <v>18</v>
      </c>
      <c r="I16" s="46">
        <v>1130686</v>
      </c>
      <c r="J16" s="23"/>
      <c r="K16" s="23">
        <f t="shared" si="5"/>
        <v>62815.8888888889</v>
      </c>
      <c r="L16" s="23">
        <f t="shared" si="6"/>
        <v>1918.94444444444</v>
      </c>
      <c r="M16" s="23">
        <f t="shared" si="7"/>
        <v>32.7346052517298</v>
      </c>
      <c r="N16" s="39" t="s">
        <v>30</v>
      </c>
      <c r="O16" s="42">
        <f>AVERAGE(K18:K32,K15:K16)</f>
        <v>59043.8058501721</v>
      </c>
      <c r="S16" s="1">
        <v>5.76</v>
      </c>
      <c r="W16" s="52">
        <f t="shared" si="8"/>
        <v>1918.94444444444</v>
      </c>
      <c r="X16" s="45">
        <f t="shared" si="9"/>
        <v>2031.82352941176</v>
      </c>
    </row>
    <row r="17" s="1" customFormat="1" customHeight="1" spans="1:24">
      <c r="A17" s="28" t="s">
        <v>60</v>
      </c>
      <c r="B17" s="29" t="s">
        <v>104</v>
      </c>
      <c r="C17" s="28" t="s">
        <v>105</v>
      </c>
      <c r="D17" s="30">
        <v>32778.8</v>
      </c>
      <c r="E17" s="23">
        <v>429000</v>
      </c>
      <c r="F17" s="14">
        <v>11</v>
      </c>
      <c r="G17" s="14">
        <v>11</v>
      </c>
      <c r="H17" s="17">
        <v>11</v>
      </c>
      <c r="I17" s="27">
        <v>410953</v>
      </c>
      <c r="J17" s="27">
        <v>18047</v>
      </c>
      <c r="K17" s="44">
        <f t="shared" si="5"/>
        <v>37359.3636363636</v>
      </c>
      <c r="L17" s="23">
        <f t="shared" si="6"/>
        <v>2979.89090909091</v>
      </c>
      <c r="M17" s="23">
        <f t="shared" si="7"/>
        <v>13.0877274335851</v>
      </c>
      <c r="N17" s="39" t="s">
        <v>34</v>
      </c>
      <c r="O17" s="1">
        <v>29.78</v>
      </c>
      <c r="S17" s="1">
        <v>28.15</v>
      </c>
      <c r="T17" s="53"/>
      <c r="U17" s="53"/>
      <c r="V17" s="53"/>
      <c r="W17" s="52">
        <f t="shared" si="8"/>
        <v>2979.89090909091</v>
      </c>
      <c r="X17" s="45">
        <f t="shared" si="9"/>
        <v>2979.89090909091</v>
      </c>
    </row>
    <row r="18" s="1" customFormat="1" customHeight="1" spans="1:24">
      <c r="A18" s="11" t="s">
        <v>60</v>
      </c>
      <c r="B18" s="11" t="s">
        <v>61</v>
      </c>
      <c r="C18" s="11" t="s">
        <v>62</v>
      </c>
      <c r="D18" s="26">
        <v>31503.17</v>
      </c>
      <c r="E18" s="23">
        <v>998400</v>
      </c>
      <c r="F18" s="14">
        <v>16</v>
      </c>
      <c r="G18" s="14">
        <v>16</v>
      </c>
      <c r="H18" s="17">
        <v>16</v>
      </c>
      <c r="I18" s="27">
        <v>956400</v>
      </c>
      <c r="J18" s="27">
        <v>42000</v>
      </c>
      <c r="K18" s="23">
        <f t="shared" si="5"/>
        <v>59775</v>
      </c>
      <c r="L18" s="23">
        <f t="shared" si="6"/>
        <v>1968.948125</v>
      </c>
      <c r="M18" s="23">
        <f t="shared" si="7"/>
        <v>31.6920487684255</v>
      </c>
      <c r="N18" s="39"/>
      <c r="O18" s="43">
        <f>AVERAGE(K15:K32)</f>
        <v>57688.528211809</v>
      </c>
      <c r="S18" s="53"/>
      <c r="T18" s="53"/>
      <c r="U18" s="53"/>
      <c r="V18" s="53"/>
      <c r="W18" s="52">
        <f t="shared" si="8"/>
        <v>1968.948125</v>
      </c>
      <c r="X18" s="45">
        <f t="shared" si="9"/>
        <v>1968.948125</v>
      </c>
    </row>
    <row r="19" s="1" customFormat="1" customHeight="1" spans="1:24">
      <c r="A19" s="11" t="s">
        <v>63</v>
      </c>
      <c r="B19" s="11" t="s">
        <v>64</v>
      </c>
      <c r="C19" s="11" t="s">
        <v>65</v>
      </c>
      <c r="D19" s="26">
        <v>30360</v>
      </c>
      <c r="E19" s="13">
        <v>1003057.5026</v>
      </c>
      <c r="F19" s="14">
        <v>13</v>
      </c>
      <c r="G19" s="14">
        <v>12</v>
      </c>
      <c r="H19" s="17">
        <v>15</v>
      </c>
      <c r="I19" s="27">
        <v>967366.9104</v>
      </c>
      <c r="J19" s="27">
        <v>35690.5922</v>
      </c>
      <c r="K19" s="23">
        <f t="shared" si="5"/>
        <v>64491.12736</v>
      </c>
      <c r="L19" s="23">
        <f t="shared" si="6"/>
        <v>2024</v>
      </c>
      <c r="M19" s="23">
        <f t="shared" si="7"/>
        <v>33.0387846706192</v>
      </c>
      <c r="W19" s="52">
        <f t="shared" si="8"/>
        <v>2335.38461538462</v>
      </c>
      <c r="X19" s="45">
        <f t="shared" si="9"/>
        <v>2530</v>
      </c>
    </row>
    <row r="20" s="1" customFormat="1" customHeight="1" spans="1:24">
      <c r="A20" s="11" t="s">
        <v>66</v>
      </c>
      <c r="B20" s="11" t="s">
        <v>67</v>
      </c>
      <c r="C20" s="11" t="s">
        <v>68</v>
      </c>
      <c r="D20" s="26">
        <v>28469.8</v>
      </c>
      <c r="E20" s="31">
        <v>1180508.9880783</v>
      </c>
      <c r="F20" s="14">
        <v>17</v>
      </c>
      <c r="G20" s="14">
        <v>16</v>
      </c>
      <c r="H20" s="32">
        <v>18</v>
      </c>
      <c r="I20" s="47">
        <v>1142974.67774041</v>
      </c>
      <c r="J20" s="47">
        <v>37534.3103378947</v>
      </c>
      <c r="K20" s="23">
        <f t="shared" si="5"/>
        <v>63498.5932078006</v>
      </c>
      <c r="L20" s="23">
        <f t="shared" si="6"/>
        <v>1581.65555555556</v>
      </c>
      <c r="M20" s="23">
        <f t="shared" si="7"/>
        <v>41.4653066785963</v>
      </c>
      <c r="W20" s="52">
        <f t="shared" si="8"/>
        <v>1674.69411764706</v>
      </c>
      <c r="X20" s="45">
        <f t="shared" si="9"/>
        <v>1779.3625</v>
      </c>
    </row>
    <row r="21" s="1" customFormat="1" customHeight="1" spans="1:24">
      <c r="A21" s="11" t="s">
        <v>69</v>
      </c>
      <c r="B21" s="11" t="s">
        <v>70</v>
      </c>
      <c r="C21" s="11" t="s">
        <v>71</v>
      </c>
      <c r="D21" s="26">
        <v>25450</v>
      </c>
      <c r="E21" s="23">
        <v>639490.524144512</v>
      </c>
      <c r="F21" s="14">
        <v>11</v>
      </c>
      <c r="G21" s="14">
        <v>11</v>
      </c>
      <c r="H21" s="17">
        <v>11</v>
      </c>
      <c r="I21" s="27">
        <v>615563.876626954</v>
      </c>
      <c r="J21" s="27">
        <v>23926.6475175577</v>
      </c>
      <c r="K21" s="23">
        <f t="shared" si="5"/>
        <v>55960.3524206322</v>
      </c>
      <c r="L21" s="23">
        <f t="shared" si="6"/>
        <v>2313.63636363636</v>
      </c>
      <c r="M21" s="23">
        <f t="shared" si="7"/>
        <v>25.1273290430064</v>
      </c>
      <c r="W21" s="52">
        <f t="shared" si="8"/>
        <v>2313.63636363636</v>
      </c>
      <c r="X21" s="45">
        <f t="shared" si="9"/>
        <v>2313.63636363636</v>
      </c>
    </row>
    <row r="22" s="1" customFormat="1" customHeight="1" spans="1:24">
      <c r="A22" s="11" t="s">
        <v>72</v>
      </c>
      <c r="B22" s="11" t="s">
        <v>73</v>
      </c>
      <c r="C22" s="11" t="s">
        <v>74</v>
      </c>
      <c r="D22" s="26">
        <v>24839.87</v>
      </c>
      <c r="E22" s="21">
        <v>699688.18</v>
      </c>
      <c r="F22" s="14">
        <v>10</v>
      </c>
      <c r="G22" s="14">
        <v>10</v>
      </c>
      <c r="H22" s="17">
        <v>10</v>
      </c>
      <c r="I22" s="27">
        <v>609318</v>
      </c>
      <c r="J22" s="27">
        <v>90370.18</v>
      </c>
      <c r="K22" s="23">
        <f t="shared" si="5"/>
        <v>60931.8</v>
      </c>
      <c r="L22" s="23">
        <f t="shared" si="6"/>
        <v>2483.987</v>
      </c>
      <c r="M22" s="23">
        <f t="shared" si="7"/>
        <v>28.1679485440141</v>
      </c>
      <c r="W22" s="52">
        <f t="shared" si="8"/>
        <v>2483.987</v>
      </c>
      <c r="X22" s="45">
        <f t="shared" si="9"/>
        <v>2483.987</v>
      </c>
    </row>
    <row r="23" s="1" customFormat="1" customHeight="1" spans="1:24">
      <c r="A23" s="11" t="s">
        <v>75</v>
      </c>
      <c r="B23" s="11" t="s">
        <v>76</v>
      </c>
      <c r="C23" s="11" t="s">
        <v>77</v>
      </c>
      <c r="D23" s="26">
        <v>24115.18</v>
      </c>
      <c r="E23" s="23">
        <v>657360</v>
      </c>
      <c r="F23" s="14">
        <v>11</v>
      </c>
      <c r="G23" s="14">
        <v>11</v>
      </c>
      <c r="H23" s="17">
        <v>11</v>
      </c>
      <c r="I23" s="27">
        <v>602949.3</v>
      </c>
      <c r="J23" s="27">
        <v>54410.7</v>
      </c>
      <c r="K23" s="23">
        <f t="shared" si="5"/>
        <v>54813.5727272727</v>
      </c>
      <c r="L23" s="23">
        <f t="shared" si="6"/>
        <v>2192.28909090909</v>
      </c>
      <c r="M23" s="23">
        <f t="shared" si="7"/>
        <v>27.2591786584218</v>
      </c>
      <c r="W23" s="52">
        <f t="shared" si="8"/>
        <v>2192.28909090909</v>
      </c>
      <c r="X23" s="45">
        <f t="shared" si="9"/>
        <v>2192.28909090909</v>
      </c>
    </row>
    <row r="24" s="1" customFormat="1" customHeight="1" spans="1:24">
      <c r="A24" s="11" t="s">
        <v>78</v>
      </c>
      <c r="B24" s="11" t="s">
        <v>79</v>
      </c>
      <c r="C24" s="11" t="s">
        <v>80</v>
      </c>
      <c r="D24" s="26">
        <v>23154.69</v>
      </c>
      <c r="E24" s="23">
        <v>630738.461538461</v>
      </c>
      <c r="F24" s="14">
        <v>10</v>
      </c>
      <c r="G24" s="14">
        <v>10</v>
      </c>
      <c r="H24" s="17">
        <v>10</v>
      </c>
      <c r="I24" s="27">
        <v>610824.615384615</v>
      </c>
      <c r="J24" s="48">
        <v>191957.008293428</v>
      </c>
      <c r="K24" s="23">
        <f t="shared" si="5"/>
        <v>61082.4615384615</v>
      </c>
      <c r="L24" s="23">
        <f t="shared" si="6"/>
        <v>2315.469</v>
      </c>
      <c r="M24" s="23">
        <f t="shared" si="7"/>
        <v>27.2402032391045</v>
      </c>
      <c r="W24" s="52">
        <f t="shared" si="8"/>
        <v>2315.469</v>
      </c>
      <c r="X24" s="45">
        <f t="shared" si="9"/>
        <v>2315.469</v>
      </c>
    </row>
    <row r="25" s="1" customFormat="1" customHeight="1" spans="1:24">
      <c r="A25" s="11" t="s">
        <v>81</v>
      </c>
      <c r="B25" s="11" t="s">
        <v>82</v>
      </c>
      <c r="C25" s="11" t="s">
        <v>83</v>
      </c>
      <c r="D25" s="26">
        <v>23000.42</v>
      </c>
      <c r="E25" s="21">
        <v>549010.17</v>
      </c>
      <c r="F25" s="14">
        <v>8</v>
      </c>
      <c r="G25" s="14">
        <v>8</v>
      </c>
      <c r="H25" s="17">
        <v>8</v>
      </c>
      <c r="I25" s="27">
        <v>411471</v>
      </c>
      <c r="J25" s="27">
        <v>137539.17</v>
      </c>
      <c r="K25" s="23">
        <f t="shared" si="5"/>
        <v>51433.875</v>
      </c>
      <c r="L25" s="23">
        <f t="shared" si="6"/>
        <v>2875.0525</v>
      </c>
      <c r="M25" s="23">
        <f t="shared" si="7"/>
        <v>23.8695715121724</v>
      </c>
      <c r="W25" s="52">
        <f t="shared" si="8"/>
        <v>2875.0525</v>
      </c>
      <c r="X25" s="45">
        <f t="shared" si="9"/>
        <v>2875.0525</v>
      </c>
    </row>
    <row r="26" s="1" customFormat="1" customHeight="1" spans="1:24">
      <c r="A26" s="11" t="s">
        <v>75</v>
      </c>
      <c r="B26" s="11" t="s">
        <v>82</v>
      </c>
      <c r="C26" s="11" t="s">
        <v>84</v>
      </c>
      <c r="D26" s="26">
        <v>22068.71</v>
      </c>
      <c r="E26" s="23">
        <v>609600</v>
      </c>
      <c r="F26" s="14">
        <v>10</v>
      </c>
      <c r="G26" s="14">
        <v>10</v>
      </c>
      <c r="H26" s="17">
        <v>10</v>
      </c>
      <c r="I26" s="27">
        <v>555189.3</v>
      </c>
      <c r="J26" s="27">
        <v>54410.7</v>
      </c>
      <c r="K26" s="23">
        <f t="shared" si="5"/>
        <v>55518.93</v>
      </c>
      <c r="L26" s="23">
        <f t="shared" si="6"/>
        <v>2206.871</v>
      </c>
      <c r="M26" s="23">
        <f t="shared" si="7"/>
        <v>27.6228198204607</v>
      </c>
      <c r="W26" s="52">
        <f t="shared" si="8"/>
        <v>2206.871</v>
      </c>
      <c r="X26" s="45">
        <f t="shared" si="9"/>
        <v>2206.871</v>
      </c>
    </row>
    <row r="27" s="1" customFormat="1" customHeight="1" spans="1:24">
      <c r="A27" s="11" t="s">
        <v>69</v>
      </c>
      <c r="B27" s="11" t="s">
        <v>87</v>
      </c>
      <c r="C27" s="11" t="s">
        <v>88</v>
      </c>
      <c r="D27" s="26">
        <v>16706.14</v>
      </c>
      <c r="E27" s="23">
        <v>465925.391040592</v>
      </c>
      <c r="F27" s="14">
        <v>8</v>
      </c>
      <c r="G27" s="14">
        <v>8</v>
      </c>
      <c r="H27" s="17">
        <v>8</v>
      </c>
      <c r="I27" s="27">
        <v>445995.200568509</v>
      </c>
      <c r="J27" s="27">
        <v>19930.1904720825</v>
      </c>
      <c r="K27" s="23">
        <f t="shared" si="5"/>
        <v>55749.4000710636</v>
      </c>
      <c r="L27" s="23">
        <f t="shared" si="6"/>
        <v>2088.2675</v>
      </c>
      <c r="M27" s="23">
        <f t="shared" si="7"/>
        <v>27.889470041589</v>
      </c>
      <c r="W27" s="52">
        <f t="shared" si="8"/>
        <v>2088.2675</v>
      </c>
      <c r="X27" s="45">
        <f t="shared" si="9"/>
        <v>2088.2675</v>
      </c>
    </row>
    <row r="28" s="1" customFormat="1" customHeight="1" spans="1:24">
      <c r="A28" s="22" t="s">
        <v>38</v>
      </c>
      <c r="B28" s="22" t="s">
        <v>58</v>
      </c>
      <c r="C28" s="11" t="s">
        <v>89</v>
      </c>
      <c r="D28" s="26">
        <v>14987.06</v>
      </c>
      <c r="E28" s="23">
        <v>320343.993636364</v>
      </c>
      <c r="F28" s="14">
        <v>8</v>
      </c>
      <c r="G28" s="14">
        <v>8</v>
      </c>
      <c r="H28" s="17">
        <v>8</v>
      </c>
      <c r="I28" s="23">
        <f>834351/22*8</f>
        <v>303400.363636364</v>
      </c>
      <c r="J28" s="23">
        <v>6161.45454545455</v>
      </c>
      <c r="K28" s="23"/>
      <c r="L28" s="23"/>
      <c r="M28" s="23"/>
      <c r="W28" s="52"/>
      <c r="X28" s="45"/>
    </row>
    <row r="29" s="1" customFormat="1" customHeight="1" spans="1:24">
      <c r="A29" s="11" t="s">
        <v>49</v>
      </c>
      <c r="B29" s="11" t="s">
        <v>90</v>
      </c>
      <c r="C29" s="11" t="s">
        <v>91</v>
      </c>
      <c r="D29" s="26">
        <v>11624.55</v>
      </c>
      <c r="E29" s="23">
        <v>279399.5</v>
      </c>
      <c r="F29" s="14">
        <v>5</v>
      </c>
      <c r="G29" s="14">
        <v>5</v>
      </c>
      <c r="H29" s="17">
        <v>5</v>
      </c>
      <c r="I29" s="27">
        <v>275200</v>
      </c>
      <c r="J29" s="27">
        <v>4200</v>
      </c>
      <c r="K29" s="23">
        <f t="shared" ref="K29:K31" si="10">I29/H29</f>
        <v>55040</v>
      </c>
      <c r="L29" s="23">
        <f t="shared" ref="L29:L31" si="11">D29/H29</f>
        <v>2324.91</v>
      </c>
      <c r="M29" s="23">
        <f t="shared" ref="M29:M31" si="12">E29/D29</f>
        <v>24.0352959899523</v>
      </c>
      <c r="W29" s="52">
        <f t="shared" ref="W29:W31" si="13">D29/F29</f>
        <v>2324.91</v>
      </c>
      <c r="X29" s="45">
        <f t="shared" ref="X29:X31" si="14">D29/G29</f>
        <v>2324.91</v>
      </c>
    </row>
    <row r="30" s="1" customFormat="1" customHeight="1" spans="1:24">
      <c r="A30" s="11" t="s">
        <v>92</v>
      </c>
      <c r="B30" s="11" t="s">
        <v>93</v>
      </c>
      <c r="C30" s="11" t="s">
        <v>94</v>
      </c>
      <c r="D30" s="26">
        <v>7614.37</v>
      </c>
      <c r="E30" s="16">
        <v>242085</v>
      </c>
      <c r="F30" s="14">
        <v>3</v>
      </c>
      <c r="G30" s="14">
        <v>3</v>
      </c>
      <c r="H30" s="17">
        <v>3</v>
      </c>
      <c r="I30" s="37">
        <f>242085*0.8</f>
        <v>193668</v>
      </c>
      <c r="J30" s="37">
        <v>48417</v>
      </c>
      <c r="K30" s="23">
        <f t="shared" si="10"/>
        <v>64556</v>
      </c>
      <c r="L30" s="23">
        <f t="shared" si="11"/>
        <v>2538.12333333333</v>
      </c>
      <c r="M30" s="23">
        <f t="shared" si="12"/>
        <v>31.7931752725439</v>
      </c>
      <c r="W30" s="52">
        <f t="shared" si="13"/>
        <v>2538.12333333333</v>
      </c>
      <c r="X30" s="45">
        <f t="shared" si="14"/>
        <v>2538.12333333333</v>
      </c>
    </row>
    <row r="31" s="1" customFormat="1" customHeight="1" spans="1:24">
      <c r="A31" s="11" t="s">
        <v>78</v>
      </c>
      <c r="B31" s="11" t="s">
        <v>42</v>
      </c>
      <c r="C31" s="11" t="s">
        <v>95</v>
      </c>
      <c r="D31" s="26">
        <v>6966</v>
      </c>
      <c r="E31" s="23">
        <v>189221.538461539</v>
      </c>
      <c r="F31" s="14">
        <v>3</v>
      </c>
      <c r="G31" s="14">
        <v>3</v>
      </c>
      <c r="H31" s="17">
        <v>3</v>
      </c>
      <c r="I31" s="27">
        <v>183247.384615385</v>
      </c>
      <c r="J31" s="48">
        <v>57732.6817065713</v>
      </c>
      <c r="K31" s="23">
        <f t="shared" si="10"/>
        <v>61082.4615384617</v>
      </c>
      <c r="L31" s="23">
        <f t="shared" si="11"/>
        <v>2322</v>
      </c>
      <c r="M31" s="23">
        <f t="shared" si="12"/>
        <v>27.163585768237</v>
      </c>
      <c r="W31" s="52">
        <f t="shared" si="13"/>
        <v>2322</v>
      </c>
      <c r="X31" s="45">
        <f t="shared" si="14"/>
        <v>2322</v>
      </c>
    </row>
    <row r="32" s="1" customFormat="1" customHeight="1" spans="1:24">
      <c r="A32" s="22" t="s">
        <v>38</v>
      </c>
      <c r="B32" s="22" t="s">
        <v>42</v>
      </c>
      <c r="C32" s="11" t="s">
        <v>96</v>
      </c>
      <c r="D32" s="26">
        <v>1748.4</v>
      </c>
      <c r="E32" s="23">
        <f>834351/22*4</f>
        <v>151700.181818182</v>
      </c>
      <c r="F32" s="14">
        <v>4</v>
      </c>
      <c r="G32" s="14">
        <v>4</v>
      </c>
      <c r="H32" s="17">
        <v>4</v>
      </c>
      <c r="I32" s="23">
        <f>834351/22*4</f>
        <v>151700.181818182</v>
      </c>
      <c r="J32" s="23"/>
      <c r="K32" s="23"/>
      <c r="L32" s="23"/>
      <c r="M32" s="23"/>
      <c r="W32" s="52"/>
      <c r="X32" s="45"/>
    </row>
    <row r="33" s="1" customFormat="1" customHeight="1" spans="6:24">
      <c r="F33" s="3"/>
      <c r="G33" s="3"/>
      <c r="H33" s="3"/>
      <c r="W33" s="52"/>
      <c r="X33" s="45"/>
    </row>
    <row r="36" s="1" customFormat="1" customHeight="1" spans="1:8">
      <c r="A36" s="33" t="s">
        <v>97</v>
      </c>
      <c r="B36" s="34"/>
      <c r="C36" s="34"/>
      <c r="D36" s="34"/>
      <c r="F36" s="3"/>
      <c r="G36" s="3"/>
      <c r="H36" s="3"/>
    </row>
    <row r="37" s="1" customFormat="1" customHeight="1" spans="1:8">
      <c r="A37" s="34"/>
      <c r="B37" s="34"/>
      <c r="C37" s="34"/>
      <c r="D37" s="34"/>
      <c r="F37" s="3"/>
      <c r="G37" s="3"/>
      <c r="H37" s="3"/>
    </row>
    <row r="38" s="1" customFormat="1" customHeight="1" spans="1:8">
      <c r="A38" s="34"/>
      <c r="B38" s="34"/>
      <c r="C38" s="34"/>
      <c r="D38" s="34"/>
      <c r="F38" s="3"/>
      <c r="G38" s="3"/>
      <c r="H38" s="3"/>
    </row>
    <row r="39" s="1" customFormat="1" customHeight="1" spans="1:8">
      <c r="A39" s="34"/>
      <c r="B39" s="34"/>
      <c r="C39" s="34"/>
      <c r="D39" s="34"/>
      <c r="F39" s="3"/>
      <c r="G39" s="3"/>
      <c r="H39" s="3"/>
    </row>
    <row r="40" s="1" customFormat="1" customHeight="1" spans="1:8">
      <c r="A40" s="34"/>
      <c r="B40" s="34"/>
      <c r="C40" s="34"/>
      <c r="D40" s="34"/>
      <c r="F40" s="3"/>
      <c r="G40" s="3"/>
      <c r="H40" s="3"/>
    </row>
    <row r="41" s="1" customFormat="1" customHeight="1" spans="1:8">
      <c r="A41" s="34"/>
      <c r="B41" s="34"/>
      <c r="C41" s="34"/>
      <c r="D41" s="34"/>
      <c r="F41" s="3"/>
      <c r="G41" s="3"/>
      <c r="H41" s="3"/>
    </row>
    <row r="42" s="1" customFormat="1" customHeight="1" spans="1:8">
      <c r="A42" s="34"/>
      <c r="B42" s="34"/>
      <c r="C42" s="34"/>
      <c r="D42" s="34"/>
      <c r="F42" s="3"/>
      <c r="G42" s="3"/>
      <c r="H42" s="3"/>
    </row>
    <row r="43" s="1" customFormat="1" customHeight="1" spans="1:8">
      <c r="A43" s="34"/>
      <c r="B43" s="34"/>
      <c r="C43" s="34"/>
      <c r="D43" s="34"/>
      <c r="F43" s="3"/>
      <c r="G43" s="3"/>
      <c r="H43" s="3"/>
    </row>
    <row r="44" s="1" customFormat="1" customHeight="1" spans="1:8">
      <c r="A44" s="34"/>
      <c r="B44" s="34"/>
      <c r="C44" s="34"/>
      <c r="D44" s="34"/>
      <c r="F44" s="3"/>
      <c r="G44" s="3"/>
      <c r="H44" s="3"/>
    </row>
    <row r="45" s="1" customFormat="1" customHeight="1" spans="1:8">
      <c r="A45" s="34"/>
      <c r="B45" s="34"/>
      <c r="C45" s="34"/>
      <c r="D45" s="34"/>
      <c r="F45" s="3"/>
      <c r="G45" s="3"/>
      <c r="H45" s="3"/>
    </row>
    <row r="46" s="1" customFormat="1" customHeight="1" spans="1:8">
      <c r="A46" s="34"/>
      <c r="B46" s="34"/>
      <c r="C46" s="34"/>
      <c r="D46" s="34"/>
      <c r="F46" s="3"/>
      <c r="G46" s="3"/>
      <c r="H46" s="3"/>
    </row>
    <row r="47" s="1" customFormat="1" customHeight="1" spans="1:8">
      <c r="A47" s="34"/>
      <c r="B47" s="34"/>
      <c r="C47" s="34"/>
      <c r="D47" s="34"/>
      <c r="F47" s="3"/>
      <c r="G47" s="3"/>
      <c r="H47" s="3"/>
    </row>
  </sheetData>
  <mergeCells count="1">
    <mergeCell ref="A36:D4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2021年</vt:lpstr>
      <vt:lpstr>2023年</vt:lpstr>
      <vt:lpstr>2024年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40864</dc:creator>
  <cp:lastModifiedBy>40864</cp:lastModifiedBy>
  <dcterms:created xsi:type="dcterms:W3CDTF">2025-05-26T03:01:53Z</dcterms:created>
  <dcterms:modified xsi:type="dcterms:W3CDTF">2025-05-26T03:03:22Z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64F651F0605D439FBF07B29C2C6D6F29_11</vt:lpwstr>
  </property>
  <property fmtid="{D5CDD505-2E9C-101B-9397-08002B2CF9AE}" pid="3" name="KSOProductBuildVer">
    <vt:lpwstr>2052-12.1.0.20784</vt:lpwstr>
  </property>
</Properties>
</file>